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13_ncr:1_{EEE49C53-ED73-47DB-9094-E686A12A037C}" xr6:coauthVersionLast="36" xr6:coauthVersionMax="36" xr10:uidLastSave="{00000000-0000-0000-0000-000000000000}"/>
  <bookViews>
    <workbookView xWindow="0" yWindow="0" windowWidth="23040" windowHeight="8940" xr2:uid="{E2D79A96-443E-4D4E-A90D-2E65B18A04B3}"/>
  </bookViews>
  <sheets>
    <sheet name="Product work shee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4" i="2"/>
  <c r="G18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4" i="2"/>
  <c r="I22" i="2"/>
  <c r="I21" i="2"/>
  <c r="C22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C25" i="2"/>
  <c r="C24" i="2"/>
  <c r="C23" i="2"/>
  <c r="C21" i="2"/>
</calcChain>
</file>

<file path=xl/sharedStrings.xml><?xml version="1.0" encoding="utf-8"?>
<sst xmlns="http://schemas.openxmlformats.org/spreadsheetml/2006/main" count="61" uniqueCount="50">
  <si>
    <t>Product ID</t>
  </si>
  <si>
    <t>Product Name</t>
  </si>
  <si>
    <t>Category</t>
  </si>
  <si>
    <t>PROD-001</t>
  </si>
  <si>
    <t>Wireless Ergonomic Mouse</t>
  </si>
  <si>
    <t>Electronics</t>
  </si>
  <si>
    <t>PROD-002</t>
  </si>
  <si>
    <t>Bluetooth Noise-Canceling Headphones</t>
  </si>
  <si>
    <t>PROD-003</t>
  </si>
  <si>
    <t>4K Ultra HD Monitor 27"</t>
  </si>
  <si>
    <t>PROD-004</t>
  </si>
  <si>
    <t>Mechanical Gaming Keyboard</t>
  </si>
  <si>
    <t>PROD-005</t>
  </si>
  <si>
    <t>Premium Leather Office Chair</t>
  </si>
  <si>
    <t>Office Supplies</t>
  </si>
  <si>
    <t>PROD-006</t>
  </si>
  <si>
    <t>Adjustable Standing Desk</t>
  </si>
  <si>
    <t>PROD-007</t>
  </si>
  <si>
    <t>Eco-Friendly Hardcover Notebook</t>
  </si>
  <si>
    <t>PROD-008</t>
  </si>
  <si>
    <t>Stainless Steel Vacuum Water Bottle</t>
  </si>
  <si>
    <t>Home &amp; Kitchen</t>
  </si>
  <si>
    <t>PROD-009</t>
  </si>
  <si>
    <t>Electric Gooseneck Coffee Kettle</t>
  </si>
  <si>
    <t>PROD-010</t>
  </si>
  <si>
    <t>Digital Air Fryer XL</t>
  </si>
  <si>
    <t>PROD-011</t>
  </si>
  <si>
    <t>Memory Foam Orthopedic Pillow</t>
  </si>
  <si>
    <t>PROD-012</t>
  </si>
  <si>
    <t>Lightweight Running Shoes</t>
  </si>
  <si>
    <t>Apparel &amp; Shoes</t>
  </si>
  <si>
    <t>PROD-013</t>
  </si>
  <si>
    <t>Waterproof Hooded Rain Jacket</t>
  </si>
  <si>
    <t>PROD-014</t>
  </si>
  <si>
    <t>Cotton Comfort Crew Socks (6-Pack)</t>
  </si>
  <si>
    <t>PROD-015</t>
  </si>
  <si>
    <t>Canvas Everyday Backpack</t>
  </si>
  <si>
    <t>Total number of prouct</t>
  </si>
  <si>
    <t>Total price of all products</t>
  </si>
  <si>
    <t>Average price of all products</t>
  </si>
  <si>
    <t>Unit Price ($)</t>
  </si>
  <si>
    <t>Minimum price of all product</t>
  </si>
  <si>
    <t>Maximum price of all product</t>
  </si>
  <si>
    <t>Price range</t>
  </si>
  <si>
    <t>Day</t>
  </si>
  <si>
    <t>Country</t>
  </si>
  <si>
    <t>Month</t>
  </si>
  <si>
    <t xml:space="preserve">Total price of product in the Electroics </t>
  </si>
  <si>
    <t>PRODUCT ANALYSIS WORK SHEET</t>
  </si>
  <si>
    <t>Total number of product price less then 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</si>
</sst>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_ ;[Red]\-#,##0\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/>
    <xf numFmtId="170" fontId="1" fillId="0" borderId="0" xfId="0" applyNumberFormat="1" applyFont="1"/>
    <xf numFmtId="0" fontId="7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481F-39FE-4BDD-B1B9-326CA4ADC0BE}">
  <dimension ref="A1:I25"/>
  <sheetViews>
    <sheetView tabSelected="1" workbookViewId="0">
      <selection activeCell="E5" sqref="E5"/>
    </sheetView>
  </sheetViews>
  <sheetFormatPr defaultRowHeight="14.4" x14ac:dyDescent="0.3"/>
  <cols>
    <col min="1" max="1" width="12.21875" customWidth="1"/>
    <col min="2" max="2" width="34.77734375" customWidth="1"/>
    <col min="3" max="3" width="16.33203125" customWidth="1"/>
    <col min="4" max="4" width="13.6640625" customWidth="1"/>
    <col min="5" max="5" width="14.44140625" customWidth="1"/>
  </cols>
  <sheetData>
    <row r="1" spans="1:8" ht="21" x14ac:dyDescent="0.4">
      <c r="A1" s="11" t="s">
        <v>48</v>
      </c>
      <c r="B1" s="11"/>
      <c r="C1" s="11"/>
      <c r="D1" s="11"/>
      <c r="E1" s="11"/>
      <c r="F1" s="11"/>
      <c r="G1" s="11"/>
      <c r="H1" s="11"/>
    </row>
    <row r="3" spans="1:8" ht="31.2" x14ac:dyDescent="0.3">
      <c r="A3" s="12" t="s">
        <v>0</v>
      </c>
      <c r="B3" s="12" t="s">
        <v>1</v>
      </c>
      <c r="C3" s="12" t="s">
        <v>2</v>
      </c>
      <c r="D3" s="12" t="s">
        <v>40</v>
      </c>
      <c r="E3" s="12" t="s">
        <v>43</v>
      </c>
      <c r="F3" s="12" t="s">
        <v>44</v>
      </c>
      <c r="G3" s="12" t="s">
        <v>45</v>
      </c>
      <c r="H3" s="12" t="s">
        <v>46</v>
      </c>
    </row>
    <row r="4" spans="1:8" x14ac:dyDescent="0.3">
      <c r="A4" s="3" t="s">
        <v>3</v>
      </c>
      <c r="B4" s="3" t="s">
        <v>4</v>
      </c>
      <c r="C4" s="3" t="s">
        <v>5</v>
      </c>
      <c r="D4" s="3">
        <v>29.99</v>
      </c>
      <c r="E4" s="4" t="str">
        <f>IF(D4&gt;=500,"High Price","Standered Price")</f>
        <v>Standered Price</v>
      </c>
      <c r="F4" s="4" t="str">
        <f>LEFT(A4,2)</f>
        <v>PR</v>
      </c>
      <c r="G4" s="4" t="str">
        <f>RIGHT(A4:A18,2)</f>
        <v>01</v>
      </c>
      <c r="H4" s="4" t="str">
        <f>MID(A4:A18,4,3)</f>
        <v>D-0</v>
      </c>
    </row>
    <row r="5" spans="1:8" ht="16.2" customHeight="1" x14ac:dyDescent="0.3">
      <c r="A5" s="3" t="s">
        <v>6</v>
      </c>
      <c r="B5" s="3" t="s">
        <v>7</v>
      </c>
      <c r="C5" s="3" t="s">
        <v>5</v>
      </c>
      <c r="D5" s="3">
        <v>149.99</v>
      </c>
      <c r="E5" s="4" t="str">
        <f>IF(D5&gt;=500,"High Price","Standered Price")</f>
        <v>Standered Price</v>
      </c>
      <c r="F5" s="4" t="str">
        <f t="shared" ref="F5:F18" si="0">LEFT(A5,2)</f>
        <v>PR</v>
      </c>
      <c r="G5" s="4" t="str">
        <f t="shared" ref="G5:G17" si="1">RIGHT(A5:A19,2)</f>
        <v>02</v>
      </c>
      <c r="H5" s="4" t="str">
        <f t="shared" ref="H5:H18" si="2">MID(A5:A19,4,3)</f>
        <v>D-0</v>
      </c>
    </row>
    <row r="6" spans="1:8" x14ac:dyDescent="0.3">
      <c r="A6" s="3" t="s">
        <v>8</v>
      </c>
      <c r="B6" s="3" t="s">
        <v>9</v>
      </c>
      <c r="C6" s="3" t="s">
        <v>5</v>
      </c>
      <c r="D6" s="3">
        <v>689.5</v>
      </c>
      <c r="E6" s="4" t="str">
        <f>IF(D6&gt;=500,"High Price","Standered Price")</f>
        <v>High Price</v>
      </c>
      <c r="F6" s="4" t="str">
        <f t="shared" si="0"/>
        <v>PR</v>
      </c>
      <c r="G6" s="4" t="str">
        <f t="shared" si="1"/>
        <v>03</v>
      </c>
      <c r="H6" s="4" t="str">
        <f t="shared" si="2"/>
        <v>D-0</v>
      </c>
    </row>
    <row r="7" spans="1:8" x14ac:dyDescent="0.3">
      <c r="A7" s="3" t="s">
        <v>10</v>
      </c>
      <c r="B7" s="3" t="s">
        <v>11</v>
      </c>
      <c r="C7" s="3" t="s">
        <v>5</v>
      </c>
      <c r="D7" s="3">
        <v>89.95</v>
      </c>
      <c r="E7" s="4" t="str">
        <f>IF(D7&gt;=500,"High Price","Standered Price")</f>
        <v>Standered Price</v>
      </c>
      <c r="F7" s="4" t="str">
        <f t="shared" si="0"/>
        <v>PR</v>
      </c>
      <c r="G7" s="4" t="str">
        <f t="shared" si="1"/>
        <v>04</v>
      </c>
      <c r="H7" s="4" t="str">
        <f t="shared" si="2"/>
        <v>D-0</v>
      </c>
    </row>
    <row r="8" spans="1:8" ht="14.4" customHeight="1" x14ac:dyDescent="0.3">
      <c r="A8" s="3" t="s">
        <v>12</v>
      </c>
      <c r="B8" s="3" t="s">
        <v>13</v>
      </c>
      <c r="C8" s="3" t="s">
        <v>14</v>
      </c>
      <c r="D8" s="3">
        <v>199</v>
      </c>
      <c r="E8" s="4" t="str">
        <f>IF(D8&gt;=500,"High Price","Standered Price")</f>
        <v>Standered Price</v>
      </c>
      <c r="F8" s="4" t="str">
        <f t="shared" si="0"/>
        <v>PR</v>
      </c>
      <c r="G8" s="4" t="str">
        <f t="shared" si="1"/>
        <v>05</v>
      </c>
      <c r="H8" s="4" t="str">
        <f t="shared" si="2"/>
        <v>D-0</v>
      </c>
    </row>
    <row r="9" spans="1:8" x14ac:dyDescent="0.3">
      <c r="A9" s="3" t="s">
        <v>15</v>
      </c>
      <c r="B9" s="3" t="s">
        <v>16</v>
      </c>
      <c r="C9" s="3" t="s">
        <v>14</v>
      </c>
      <c r="D9" s="3">
        <v>549</v>
      </c>
      <c r="E9" s="4" t="str">
        <f>IF(D9&gt;=500,"High Price","Standered Price")</f>
        <v>High Price</v>
      </c>
      <c r="F9" s="4" t="str">
        <f t="shared" si="0"/>
        <v>PR</v>
      </c>
      <c r="G9" s="4" t="str">
        <f t="shared" si="1"/>
        <v>06</v>
      </c>
      <c r="H9" s="4" t="str">
        <f t="shared" si="2"/>
        <v>D-0</v>
      </c>
    </row>
    <row r="10" spans="1:8" ht="15.6" customHeight="1" x14ac:dyDescent="0.3">
      <c r="A10" s="3" t="s">
        <v>17</v>
      </c>
      <c r="B10" s="3" t="s">
        <v>18</v>
      </c>
      <c r="C10" s="3" t="s">
        <v>14</v>
      </c>
      <c r="D10" s="3">
        <v>12.5</v>
      </c>
      <c r="E10" s="4" t="str">
        <f>IF(D10&gt;=500,"High Price","Standered Price")</f>
        <v>Standered Price</v>
      </c>
      <c r="F10" s="4" t="str">
        <f t="shared" si="0"/>
        <v>PR</v>
      </c>
      <c r="G10" s="4" t="str">
        <f t="shared" si="1"/>
        <v>07</v>
      </c>
      <c r="H10" s="4" t="str">
        <f t="shared" si="2"/>
        <v>D-0</v>
      </c>
    </row>
    <row r="11" spans="1:8" ht="16.2" customHeight="1" x14ac:dyDescent="0.3">
      <c r="A11" s="3" t="s">
        <v>19</v>
      </c>
      <c r="B11" s="3" t="s">
        <v>20</v>
      </c>
      <c r="C11" s="3" t="s">
        <v>21</v>
      </c>
      <c r="D11" s="3">
        <v>24.95</v>
      </c>
      <c r="E11" s="4" t="str">
        <f>IF(D11&gt;=500,"High Price","Standered Price")</f>
        <v>Standered Price</v>
      </c>
      <c r="F11" s="4" t="str">
        <f t="shared" si="0"/>
        <v>PR</v>
      </c>
      <c r="G11" s="4" t="str">
        <f t="shared" si="1"/>
        <v>08</v>
      </c>
      <c r="H11" s="4" t="str">
        <f t="shared" si="2"/>
        <v>D-0</v>
      </c>
    </row>
    <row r="12" spans="1:8" ht="14.4" customHeight="1" x14ac:dyDescent="0.3">
      <c r="A12" s="3" t="s">
        <v>22</v>
      </c>
      <c r="B12" s="3" t="s">
        <v>23</v>
      </c>
      <c r="C12" s="3" t="s">
        <v>21</v>
      </c>
      <c r="D12" s="3">
        <v>65</v>
      </c>
      <c r="E12" s="4" t="str">
        <f>IF(D12&gt;=500,"High Price","Standered Price")</f>
        <v>Standered Price</v>
      </c>
      <c r="F12" s="4" t="str">
        <f t="shared" si="0"/>
        <v>PR</v>
      </c>
      <c r="G12" s="4" t="str">
        <f t="shared" si="1"/>
        <v>09</v>
      </c>
      <c r="H12" s="4" t="str">
        <f t="shared" si="2"/>
        <v>D-0</v>
      </c>
    </row>
    <row r="13" spans="1:8" x14ac:dyDescent="0.3">
      <c r="A13" s="3" t="s">
        <v>24</v>
      </c>
      <c r="B13" s="3" t="s">
        <v>25</v>
      </c>
      <c r="C13" s="3" t="s">
        <v>21</v>
      </c>
      <c r="D13" s="3">
        <v>119.99</v>
      </c>
      <c r="E13" s="4" t="str">
        <f>IF(D13&gt;=500,"High Price","Standered Price")</f>
        <v>Standered Price</v>
      </c>
      <c r="F13" s="4" t="str">
        <f t="shared" si="0"/>
        <v>PR</v>
      </c>
      <c r="G13" s="4" t="str">
        <f t="shared" si="1"/>
        <v>10</v>
      </c>
      <c r="H13" s="4" t="str">
        <f t="shared" si="2"/>
        <v>D-0</v>
      </c>
    </row>
    <row r="14" spans="1:8" ht="15.6" customHeight="1" x14ac:dyDescent="0.3">
      <c r="A14" s="3" t="s">
        <v>26</v>
      </c>
      <c r="B14" s="3" t="s">
        <v>27</v>
      </c>
      <c r="C14" s="3" t="s">
        <v>21</v>
      </c>
      <c r="D14" s="3">
        <v>39.950000000000003</v>
      </c>
      <c r="E14" s="4" t="str">
        <f>IF(D14&gt;=500,"High Price","Standered Price")</f>
        <v>Standered Price</v>
      </c>
      <c r="F14" s="4" t="str">
        <f t="shared" si="0"/>
        <v>PR</v>
      </c>
      <c r="G14" s="4" t="str">
        <f t="shared" si="1"/>
        <v>11</v>
      </c>
      <c r="H14" s="4" t="str">
        <f t="shared" si="2"/>
        <v>D-0</v>
      </c>
    </row>
    <row r="15" spans="1:8" ht="18.600000000000001" customHeight="1" x14ac:dyDescent="0.3">
      <c r="A15" s="3" t="s">
        <v>28</v>
      </c>
      <c r="B15" s="3" t="s">
        <v>29</v>
      </c>
      <c r="C15" s="3" t="s">
        <v>30</v>
      </c>
      <c r="D15" s="3">
        <v>79.989999999999995</v>
      </c>
      <c r="E15" s="4" t="str">
        <f>IF(D15&gt;=500,"High Price","Standered Price")</f>
        <v>Standered Price</v>
      </c>
      <c r="F15" s="4" t="str">
        <f t="shared" si="0"/>
        <v>PR</v>
      </c>
      <c r="G15" s="4" t="str">
        <f t="shared" si="1"/>
        <v>12</v>
      </c>
      <c r="H15" s="4" t="str">
        <f t="shared" si="2"/>
        <v>D-0</v>
      </c>
    </row>
    <row r="16" spans="1:8" ht="16.8" customHeight="1" x14ac:dyDescent="0.3">
      <c r="A16" s="3" t="s">
        <v>31</v>
      </c>
      <c r="B16" s="3" t="s">
        <v>32</v>
      </c>
      <c r="C16" s="3" t="s">
        <v>30</v>
      </c>
      <c r="D16" s="3">
        <v>59.5</v>
      </c>
      <c r="E16" s="4" t="str">
        <f>IF(D16&gt;=500,"High Price","Standered Price")</f>
        <v>Standered Price</v>
      </c>
      <c r="F16" s="4" t="str">
        <f t="shared" si="0"/>
        <v>PR</v>
      </c>
      <c r="G16" s="4" t="str">
        <f t="shared" si="1"/>
        <v>13</v>
      </c>
      <c r="H16" s="4" t="str">
        <f t="shared" si="2"/>
        <v>D-0</v>
      </c>
    </row>
    <row r="17" spans="1:9" ht="15" customHeight="1" x14ac:dyDescent="0.3">
      <c r="A17" s="3" t="s">
        <v>33</v>
      </c>
      <c r="B17" s="3" t="s">
        <v>34</v>
      </c>
      <c r="C17" s="3" t="s">
        <v>30</v>
      </c>
      <c r="D17" s="3">
        <v>15</v>
      </c>
      <c r="E17" s="4" t="str">
        <f>IF(D17&gt;=500,"High Price","Standered Price")</f>
        <v>Standered Price</v>
      </c>
      <c r="F17" s="4" t="str">
        <f t="shared" si="0"/>
        <v>PR</v>
      </c>
      <c r="G17" s="4" t="str">
        <f t="shared" si="1"/>
        <v>14</v>
      </c>
      <c r="H17" s="4" t="str">
        <f t="shared" si="2"/>
        <v>D-0</v>
      </c>
    </row>
    <row r="18" spans="1:9" ht="16.2" customHeight="1" x14ac:dyDescent="0.3">
      <c r="A18" s="3" t="s">
        <v>35</v>
      </c>
      <c r="B18" s="3" t="s">
        <v>36</v>
      </c>
      <c r="C18" s="3" t="s">
        <v>30</v>
      </c>
      <c r="D18" s="3">
        <v>45</v>
      </c>
      <c r="E18" s="4" t="str">
        <f>IF(D18&gt;=500,"High Price","Standered Price")</f>
        <v>Standered Price</v>
      </c>
      <c r="F18" s="4" t="str">
        <f t="shared" si="0"/>
        <v>PR</v>
      </c>
      <c r="G18" s="4" t="str">
        <f>RIGHT(A18:A32,2)</f>
        <v>15</v>
      </c>
      <c r="H18" s="4" t="str">
        <f t="shared" si="2"/>
        <v>D-0</v>
      </c>
    </row>
    <row r="19" spans="1:9" x14ac:dyDescent="0.3">
      <c r="A19" s="1"/>
    </row>
    <row r="20" spans="1:9" ht="15" x14ac:dyDescent="0.3">
      <c r="A20" s="2"/>
    </row>
    <row r="21" spans="1:9" x14ac:dyDescent="0.3">
      <c r="A21" s="5" t="s">
        <v>37</v>
      </c>
      <c r="B21" s="6"/>
      <c r="C21" s="9">
        <f>COUNTA(A4:A18)</f>
        <v>15</v>
      </c>
      <c r="E21" s="9" t="s">
        <v>47</v>
      </c>
      <c r="F21" s="9"/>
      <c r="G21" s="9"/>
      <c r="H21" s="9"/>
      <c r="I21" s="9">
        <f>SUMIF(C4:C18,"Electronics",D4:D18)</f>
        <v>959.43000000000006</v>
      </c>
    </row>
    <row r="22" spans="1:9" x14ac:dyDescent="0.3">
      <c r="A22" s="5" t="s">
        <v>38</v>
      </c>
      <c r="B22" s="6"/>
      <c r="C22" s="10">
        <f>SUM(D4:D18)</f>
        <v>2169.31</v>
      </c>
      <c r="E22" s="9" t="s">
        <v>49</v>
      </c>
      <c r="F22" s="9"/>
      <c r="G22" s="9"/>
      <c r="H22" s="9"/>
      <c r="I22" s="9">
        <f>COUNTIF(D4:D18,"&lt;100")</f>
        <v>10</v>
      </c>
    </row>
    <row r="23" spans="1:9" x14ac:dyDescent="0.3">
      <c r="A23" s="5" t="s">
        <v>39</v>
      </c>
      <c r="B23" s="7"/>
      <c r="C23" s="9">
        <f>AVERAGE(D1:D18,C21)</f>
        <v>136.519375</v>
      </c>
    </row>
    <row r="24" spans="1:9" x14ac:dyDescent="0.3">
      <c r="A24" s="8" t="s">
        <v>41</v>
      </c>
      <c r="B24" s="8"/>
      <c r="C24" s="9">
        <f>MIN(D4:D18)</f>
        <v>12.5</v>
      </c>
    </row>
    <row r="25" spans="1:9" x14ac:dyDescent="0.3">
      <c r="A25" s="8" t="s">
        <v>42</v>
      </c>
      <c r="B25" s="8"/>
      <c r="C25" s="9">
        <f>MAX(D4:D18)</f>
        <v>689.5</v>
      </c>
    </row>
  </sheetData>
  <mergeCells count="3">
    <mergeCell ref="A24:B24"/>
    <mergeCell ref="A25:B25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work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2026-08-20T14:38:43Z</dcterms:created>
  <dcterms:modified xsi:type="dcterms:W3CDTF">2026-08-21T03:57:40Z</dcterms:modified>
</cp:coreProperties>
</file>