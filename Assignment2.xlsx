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 Analyst\Excel\"/>
    </mc:Choice>
  </mc:AlternateContent>
  <xr:revisionPtr revIDLastSave="0" documentId="13_ncr:1_{C139F370-084E-4822-95A2-A43F25C1876F}" xr6:coauthVersionLast="47" xr6:coauthVersionMax="47" xr10:uidLastSave="{00000000-0000-0000-0000-000000000000}"/>
  <bookViews>
    <workbookView xWindow="-110" yWindow="-110" windowWidth="19420" windowHeight="11500" xr2:uid="{BFA4D670-CC7E-4571-861C-7F6A4DF7C8C1}"/>
  </bookViews>
  <sheets>
    <sheet name="Assignment 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6" i="1"/>
  <c r="I27" i="1"/>
  <c r="I28" i="1"/>
  <c r="I29" i="1"/>
  <c r="I30" i="1"/>
  <c r="I31" i="1"/>
  <c r="I32" i="1"/>
  <c r="I15" i="1"/>
  <c r="I16" i="1"/>
  <c r="I17" i="1"/>
  <c r="I18" i="1"/>
  <c r="I19" i="1"/>
  <c r="I20" i="1"/>
  <c r="I21" i="1"/>
  <c r="I22" i="1"/>
  <c r="I23" i="1"/>
  <c r="I24" i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10" i="1"/>
  <c r="M10" i="1" s="1"/>
  <c r="F21" i="1"/>
  <c r="F37" i="1"/>
  <c r="F7" i="1"/>
  <c r="F7" i="1" a="1"/>
  <c r="F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<sst xmlns="http://schemas.openxmlformats.org/spreadsheetml/2006/main" count="173" uniqueCount="109">
  <si>
    <t>Product ID</t>
  </si>
  <si>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</si>
  <si>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</si>
  <si>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</si>
  <si>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</si>
  <si>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</si>
  <si>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</si>
  <si>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</si>
  <si>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</si>
  <si>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</si>
  <si>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</si>
  <si>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</si>
  <si>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</si>
  <si>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</si>
  <si>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</si>
  <si>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</si>
  <si>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</si>
  <si>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</si>
  <si>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</si>
  <si>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</si>
  <si>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</si>
  <si>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</si>
  <si>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</si>
  <si>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</si>
  <si>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</si>
  <si>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</si>
  <si>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</si>
  <si>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</si>
  <si>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</si>
  <si>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</si>
  <si>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</si>
  <si>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</si>
  <si>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</si>
  <si>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</si>
  <si>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</si>
  <si>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</si>
  <si>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</si>
  <si>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</si>
  <si>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</si>
  <si>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</si>
  <si>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</si>
  <si>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</si>
  <si>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</si>
  <si>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</si>
  <si>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</si>
  <si>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</si>
  <si>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</si>
  <si>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</si>
  <si>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</si>
  <si>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</si>
  <si>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</si>
  <si>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</si>
  <si>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</si>
  <si>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</si>
  <si>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</si>
  <si>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</si>
  <si>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</si>
  <si>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</si>
  <si>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</si>
  <si>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</si>
  <si>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</si>
  <si>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</si>
  <si>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</si>
  <si>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</si>
  <si>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</si>
  <si>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</si>
  <si>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</si>
  <si>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</si>
  <si>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</si>
  <si>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</si>
  <si>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</si>
  <si>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</si>
  <si>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</si>
  <si>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</si>
  <si>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</si>
  <si>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</si>
  <si>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</si>
  <si>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</si>
  <si>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</si>
  <si>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</si>
  <si>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</si>
  <si>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</si>
  <si>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</si>
  <si>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</si>
  <si>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</si>
  <si>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Jeans</t>
  </si>
  <si>
    <t>Levi's</t>
  </si>
  <si>
    <t>Watch</t>
  </si>
  <si>
    <t>Casio</t>
  </si>
  <si>
    <t>Number of balnks in price</t>
  </si>
  <si>
    <t>Country Code</t>
  </si>
  <si>
    <t>Product Brand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</si>
  <si>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</si>
  <si>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</si>
  <si>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</si>
  <si>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</si>
  <si>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</si>
  <si>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</si>
  <si>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</si>
  <si>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</si>
  <si>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</si>
  <si>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</si>
  <si>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</si>
  <si>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28-JAN-US</t>
  </si>
  <si>
    <t>15-FEB-US</t>
  </si>
  <si>
    <t>03-MAR-US</t>
  </si>
  <si>
    <t>11-APR-US</t>
  </si>
  <si>
    <t>Manufacturing date</t>
  </si>
  <si>
    <t xml:space="preserve">Rough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</si>
</sst>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6" formatCode="[$-14009]dd/mm/yyyy;@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166" fontId="2" fillId="0" borderId="0" xfId="0" applyNumberFormat="1" applyFont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983C-4F7D-49C0-97CE-9DF808857E51}">
  <sheetPr>
    <tabColor theme="6" tint="0.39997558519241921"/>
  </sheetPr>
  <dimension ref="A1:M43"/>
  <sheetViews>
    <sheetView tabSelected="1" zoomScale="95" workbookViewId="0">
      <selection activeCell="I2" sqref="I2"/>
    </sheetView>
  </sheetViews>
  <sheetFormatPr defaultRowHeight="14.5" x14ac:dyDescent="0.35"/>
  <cols>
    <col min="1" max="1" width="13.81640625" customWidth="1"/>
    <col min="2" max="2" width="18.7265625" customWidth="1"/>
    <col min="3" max="3" width="13.90625" customWidth="1"/>
    <col min="4" max="4" width="15.453125" customWidth="1"/>
    <col min="5" max="5" width="15.7265625" customWidth="1"/>
    <col min="6" max="6" width="9.6328125" bestFit="1" customWidth="1"/>
    <col min="7" max="7" width="10.81640625" customWidth="1"/>
    <col min="8" max="8" width="13.1796875" customWidth="1"/>
    <col min="9" max="9" width="20.90625" customWidth="1"/>
    <col min="10" max="10" width="10.81640625" customWidth="1"/>
    <col min="11" max="11" width="11" customWidth="1"/>
    <col min="12" max="12" width="13.26953125" bestFit="1" customWidth="1"/>
    <col min="13" max="13" width="15.7265625" bestFit="1" customWidth="1"/>
  </cols>
  <sheetData>
    <row r="1" spans="1:13" x14ac:dyDescent="0.35">
      <c r="A1" s="8" t="s">
        <v>0</v>
      </c>
      <c r="B1" s="8" t="s">
        <v>107</v>
      </c>
      <c r="C1" s="8" t="s">
        <v>90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91</v>
      </c>
    </row>
    <row r="2" spans="1:13" x14ac:dyDescent="0.35">
      <c r="A2" s="9" t="s">
        <v>103</v>
      </c>
      <c r="B2" s="10">
        <v>46050</v>
      </c>
      <c r="C2" s="9" t="s">
        <v>92</v>
      </c>
      <c r="D2" s="9" t="s">
        <v>36</v>
      </c>
      <c r="E2" s="9" t="s">
        <v>6</v>
      </c>
      <c r="F2" s="11">
        <v>1000</v>
      </c>
      <c r="G2" s="9">
        <v>30</v>
      </c>
      <c r="H2" s="9" t="s">
        <v>7</v>
      </c>
      <c r="I2" s="14" t="str">
        <f>CONCATENATE(TRIM(D2)," ",E2)</f>
        <v>Laptop Dell</v>
      </c>
      <c r="L2" s="7" t="s">
        <v>108</v>
      </c>
    </row>
    <row r="3" spans="1:13" x14ac:dyDescent="0.35">
      <c r="A3" s="12" t="s">
        <v>104</v>
      </c>
      <c r="B3" s="10">
        <v>46068</v>
      </c>
      <c r="C3" s="9" t="s">
        <v>92</v>
      </c>
      <c r="D3" s="12" t="s">
        <v>8</v>
      </c>
      <c r="E3" s="12" t="s">
        <v>9</v>
      </c>
      <c r="F3" s="13">
        <v>80</v>
      </c>
      <c r="G3" s="12">
        <v>15</v>
      </c>
      <c r="H3" s="12" t="s">
        <v>10</v>
      </c>
      <c r="I3" s="14" t="str">
        <f t="shared" ref="I3:I32" si="0">CONCATENATE(TRIM(D3)," ",E3)</f>
        <v>Sneakers Nike</v>
      </c>
      <c r="L3" t="s">
        <v>7</v>
      </c>
    </row>
    <row r="4" spans="1:13" x14ac:dyDescent="0.35">
      <c r="A4" s="9" t="s">
        <v>105</v>
      </c>
      <c r="B4" s="10">
        <v>46084</v>
      </c>
      <c r="C4" s="9" t="s">
        <v>92</v>
      </c>
      <c r="D4" s="9" t="s">
        <v>11</v>
      </c>
      <c r="E4" s="9" t="s">
        <v>12</v>
      </c>
      <c r="F4" s="11">
        <v>130</v>
      </c>
      <c r="G4" s="9">
        <v>40</v>
      </c>
      <c r="H4" s="9" t="s">
        <v>13</v>
      </c>
      <c r="I4" s="14" t="str">
        <f t="shared" si="0"/>
        <v>Coffee Maker Keurig</v>
      </c>
      <c r="L4" s="3" t="s">
        <v>10</v>
      </c>
    </row>
    <row r="5" spans="1:13" x14ac:dyDescent="0.35">
      <c r="A5" s="12" t="s">
        <v>106</v>
      </c>
      <c r="B5" s="10">
        <v>46123</v>
      </c>
      <c r="C5" s="9" t="s">
        <v>92</v>
      </c>
      <c r="D5" s="12" t="s">
        <v>14</v>
      </c>
      <c r="E5" s="12" t="s">
        <v>15</v>
      </c>
      <c r="F5" s="13">
        <v>900</v>
      </c>
      <c r="G5" s="12">
        <v>25</v>
      </c>
      <c r="H5" s="12" t="s">
        <v>7</v>
      </c>
      <c r="I5" s="14" t="str">
        <f t="shared" si="0"/>
        <v>smartphone Samsung</v>
      </c>
      <c r="L5" s="2" t="s">
        <v>13</v>
      </c>
    </row>
    <row r="6" spans="1:13" x14ac:dyDescent="0.35">
      <c r="A6" s="9" t="s">
        <v>16</v>
      </c>
      <c r="B6" s="10">
        <v>46164</v>
      </c>
      <c r="C6" s="9" t="s">
        <v>92</v>
      </c>
      <c r="D6" s="9" t="s">
        <v>17</v>
      </c>
      <c r="E6" s="9" t="s">
        <v>18</v>
      </c>
      <c r="F6" s="11">
        <v>70</v>
      </c>
      <c r="G6" s="9">
        <v>20</v>
      </c>
      <c r="H6" s="9" t="s">
        <v>10</v>
      </c>
      <c r="I6" s="14" t="str">
        <f t="shared" si="0"/>
        <v>Backpack North Face</v>
      </c>
      <c r="L6" s="3" t="s">
        <v>34</v>
      </c>
    </row>
    <row r="7" spans="1:13" x14ac:dyDescent="0.35">
      <c r="A7" s="12" t="s">
        <v>19</v>
      </c>
      <c r="B7" s="10">
        <v>46180</v>
      </c>
      <c r="C7" s="9" t="s">
        <v>93</v>
      </c>
      <c r="D7" s="12" t="s">
        <v>20</v>
      </c>
      <c r="E7" s="12" t="s">
        <v>21</v>
      </c>
      <c r="F7" s="13" cm="1">
        <f t="array" aca="1" ref="F7" ca="1">MEDIAN(_xlfn._xlws.FILTER(F2:F35,H2:H35="Electronics"))</f>
        <v>850</v>
      </c>
      <c r="G7" s="12">
        <v>45</v>
      </c>
      <c r="H7" s="12" t="s">
        <v>7</v>
      </c>
      <c r="I7" s="14" t="str">
        <f t="shared" si="0"/>
        <v>Headphones Sony</v>
      </c>
      <c r="L7" s="3" t="s">
        <v>50</v>
      </c>
    </row>
    <row r="8" spans="1:13" x14ac:dyDescent="0.35">
      <c r="A8" s="9" t="s">
        <v>22</v>
      </c>
      <c r="B8" s="10">
        <v>46222</v>
      </c>
      <c r="C8" s="9" t="s">
        <v>93</v>
      </c>
      <c r="D8" s="9" t="s">
        <v>23</v>
      </c>
      <c r="E8" s="9" t="s">
        <v>24</v>
      </c>
      <c r="F8" s="11">
        <v>30</v>
      </c>
      <c r="G8" s="9">
        <v>5</v>
      </c>
      <c r="H8" s="9" t="s">
        <v>10</v>
      </c>
      <c r="I8" s="14" t="str">
        <f t="shared" si="0"/>
        <v>T-shirt Adidas</v>
      </c>
    </row>
    <row r="9" spans="1:13" x14ac:dyDescent="0.35">
      <c r="A9" s="12" t="s">
        <v>25</v>
      </c>
      <c r="B9" s="10">
        <v>46257</v>
      </c>
      <c r="C9" s="9" t="s">
        <v>93</v>
      </c>
      <c r="D9" s="12" t="s">
        <v>26</v>
      </c>
      <c r="E9" s="12" t="s">
        <v>27</v>
      </c>
      <c r="F9" s="13">
        <v>90</v>
      </c>
      <c r="G9" s="12">
        <v>35</v>
      </c>
      <c r="H9" s="12" t="s">
        <v>13</v>
      </c>
      <c r="I9" s="14" t="str">
        <f t="shared" si="0"/>
        <v>Blender Ninja</v>
      </c>
      <c r="L9" s="1" t="s">
        <v>5</v>
      </c>
      <c r="M9" s="1" t="s">
        <v>5</v>
      </c>
    </row>
    <row r="10" spans="1:13" x14ac:dyDescent="0.35">
      <c r="A10" s="9" t="s">
        <v>28</v>
      </c>
      <c r="B10" s="10">
        <v>46270</v>
      </c>
      <c r="C10" s="9" t="s">
        <v>93</v>
      </c>
      <c r="D10" s="9" t="s">
        <v>29</v>
      </c>
      <c r="E10" s="9" t="s">
        <v>30</v>
      </c>
      <c r="F10" s="11">
        <v>500</v>
      </c>
      <c r="G10" s="9">
        <v>50</v>
      </c>
      <c r="H10" s="9" t="s">
        <v>7</v>
      </c>
      <c r="I10" s="14" t="str">
        <f t="shared" si="0"/>
        <v>Tablet Apple</v>
      </c>
      <c r="L10" t="str">
        <f>PROPER(TRIM(H2))</f>
        <v>Electronics</v>
      </c>
      <c r="M10" t="str">
        <f>IF(OR(L10=L$3,L10=L$4,L10=L$5,L10=L$6,L10=L$7),"correct","Typo")</f>
        <v>correct</v>
      </c>
    </row>
    <row r="11" spans="1:13" x14ac:dyDescent="0.35">
      <c r="A11" s="12" t="s">
        <v>31</v>
      </c>
      <c r="B11" s="10">
        <v>46309</v>
      </c>
      <c r="C11" s="9" t="s">
        <v>93</v>
      </c>
      <c r="D11" s="12" t="s">
        <v>32</v>
      </c>
      <c r="E11" s="12" t="s">
        <v>33</v>
      </c>
      <c r="F11" s="13">
        <v>130</v>
      </c>
      <c r="G11" s="12">
        <v>10</v>
      </c>
      <c r="H11" s="12" t="s">
        <v>34</v>
      </c>
      <c r="I11" s="14" t="str">
        <f t="shared" si="0"/>
        <v>Hiking Boots Timberland</v>
      </c>
      <c r="L11" t="str">
        <f>PROPER(TRIM(H3))</f>
        <v>Fashion</v>
      </c>
      <c r="M11" t="str">
        <f>IF(OR(L11=L$3,L11=L$4,L11=L$5,L11=L$6,L11=L$7),"correct","Typo")</f>
        <v>correct</v>
      </c>
    </row>
    <row r="12" spans="1:13" x14ac:dyDescent="0.35">
      <c r="A12" s="9" t="s">
        <v>35</v>
      </c>
      <c r="B12" s="10">
        <v>46190</v>
      </c>
      <c r="C12" s="9" t="s">
        <v>94</v>
      </c>
      <c r="D12" s="9" t="s">
        <v>36</v>
      </c>
      <c r="E12" s="9" t="s">
        <v>37</v>
      </c>
      <c r="F12" s="11">
        <v>950</v>
      </c>
      <c r="G12" s="9">
        <v>25</v>
      </c>
      <c r="H12" s="9" t="s">
        <v>7</v>
      </c>
      <c r="I12" s="14" t="str">
        <f t="shared" si="0"/>
        <v>Laptop HP</v>
      </c>
      <c r="L12" t="str">
        <f>PROPER(TRIM(H4))</f>
        <v>Kitchen</v>
      </c>
      <c r="M12" t="str">
        <f>IF(OR(L12=L$3,L12=L$4,L12=L$5,L12=L$6,L12=L$7),"correct","Typo")</f>
        <v>correct</v>
      </c>
    </row>
    <row r="13" spans="1:13" x14ac:dyDescent="0.35">
      <c r="A13" s="12" t="s">
        <v>38</v>
      </c>
      <c r="B13" s="10">
        <v>46351</v>
      </c>
      <c r="C13" s="9" t="s">
        <v>95</v>
      </c>
      <c r="D13" s="12" t="s">
        <v>8</v>
      </c>
      <c r="E13" s="12" t="s">
        <v>24</v>
      </c>
      <c r="F13" s="13">
        <v>90</v>
      </c>
      <c r="G13" s="12">
        <v>40</v>
      </c>
      <c r="H13" s="12" t="s">
        <v>10</v>
      </c>
      <c r="I13" s="14" t="str">
        <f t="shared" si="0"/>
        <v>Sneakers Adidas</v>
      </c>
      <c r="L13" t="str">
        <f>PROPER(TRIM(H5))</f>
        <v>Electronics</v>
      </c>
      <c r="M13" t="str">
        <f>IF(OR(L13=L$3,L13=L$4,L13=L$5,L13=L$6,L13=L$7),"correct","Typo")</f>
        <v>correct</v>
      </c>
    </row>
    <row r="14" spans="1:13" x14ac:dyDescent="0.35">
      <c r="A14" s="9" t="s">
        <v>39</v>
      </c>
      <c r="B14" s="10">
        <v>46364</v>
      </c>
      <c r="C14" s="9" t="s">
        <v>96</v>
      </c>
      <c r="D14" s="9" t="s">
        <v>11</v>
      </c>
      <c r="E14" s="9" t="s">
        <v>40</v>
      </c>
      <c r="F14" s="11">
        <v>120</v>
      </c>
      <c r="G14" s="9">
        <v>35</v>
      </c>
      <c r="H14" s="9" t="s">
        <v>13</v>
      </c>
      <c r="I14" s="14" t="str">
        <f t="shared" si="0"/>
        <v>Coffee Maker Nespresso</v>
      </c>
      <c r="L14" t="str">
        <f>PROPER(TRIM(H6))</f>
        <v>Fashion</v>
      </c>
      <c r="M14" t="str">
        <f>IF(OR(L14=L$3,L14=L$4,L14=L$5,L14=L$6,L14=L$7),"correct","Typo")</f>
        <v>correct</v>
      </c>
    </row>
    <row r="15" spans="1:13" x14ac:dyDescent="0.35">
      <c r="A15" s="12" t="s">
        <v>41</v>
      </c>
      <c r="B15" s="10">
        <v>46071</v>
      </c>
      <c r="C15" s="9" t="s">
        <v>97</v>
      </c>
      <c r="D15" s="12" t="s">
        <v>42</v>
      </c>
      <c r="E15" s="12" t="s">
        <v>43</v>
      </c>
      <c r="F15" s="13">
        <v>150</v>
      </c>
      <c r="G15" s="12">
        <v>15</v>
      </c>
      <c r="H15" s="12" t="s">
        <v>7</v>
      </c>
      <c r="I15" s="14" t="str">
        <f>CONCATENATE(TRIM(D15)," ",E15)</f>
        <v>Smartwatch Fitbit</v>
      </c>
      <c r="L15" t="str">
        <f>PROPER(TRIM(H7))</f>
        <v>Electronics</v>
      </c>
      <c r="M15" t="str">
        <f>IF(OR(L15=L$3,L15=L$4,L15=L$5,L15=L$6,L15=L$7),"correct","Typo")</f>
        <v>correct</v>
      </c>
    </row>
    <row r="16" spans="1:13" x14ac:dyDescent="0.35">
      <c r="A16" s="9" t="s">
        <v>44</v>
      </c>
      <c r="B16" s="10">
        <v>46128</v>
      </c>
      <c r="C16" s="9" t="s">
        <v>98</v>
      </c>
      <c r="D16" s="9" t="s">
        <v>45</v>
      </c>
      <c r="E16" s="9" t="s">
        <v>46</v>
      </c>
      <c r="F16" s="11">
        <v>250</v>
      </c>
      <c r="G16" s="9">
        <v>20</v>
      </c>
      <c r="H16" s="9" t="s">
        <v>7</v>
      </c>
      <c r="I16" s="14" t="str">
        <f t="shared" si="0"/>
        <v>headphones Bose</v>
      </c>
      <c r="L16" t="str">
        <f>PROPER(TRIM(H8))</f>
        <v>Fashion</v>
      </c>
      <c r="M16" t="str">
        <f>IF(OR(L16=L$3,L16=L$4,L16=L$5,L16=L$6,L16=L$7),"correct","Typo")</f>
        <v>correct</v>
      </c>
    </row>
    <row r="17" spans="1:13" x14ac:dyDescent="0.35">
      <c r="A17" s="12" t="s">
        <v>47</v>
      </c>
      <c r="B17" s="10">
        <v>46255</v>
      </c>
      <c r="C17" s="9" t="s">
        <v>97</v>
      </c>
      <c r="D17" s="12" t="s">
        <v>48</v>
      </c>
      <c r="E17" s="12" t="s">
        <v>49</v>
      </c>
      <c r="F17" s="13">
        <v>50</v>
      </c>
      <c r="G17" s="12">
        <v>35</v>
      </c>
      <c r="H17" s="12" t="s">
        <v>50</v>
      </c>
      <c r="I17" s="14" t="str">
        <f t="shared" si="0"/>
        <v>Laptop Bag Samsonite</v>
      </c>
      <c r="L17" t="str">
        <f>PROPER(TRIM(H9))</f>
        <v>Kitchen</v>
      </c>
      <c r="M17" t="str">
        <f>IF(OR(L17=L$3,L17=L$4,L17=L$5,L17=L$6,L17=L$7),"correct","Typo")</f>
        <v>correct</v>
      </c>
    </row>
    <row r="18" spans="1:13" x14ac:dyDescent="0.35">
      <c r="A18" s="9" t="s">
        <v>51</v>
      </c>
      <c r="B18" s="10">
        <v>46254</v>
      </c>
      <c r="C18" s="9" t="s">
        <v>99</v>
      </c>
      <c r="D18" s="9" t="s">
        <v>42</v>
      </c>
      <c r="E18" s="9" t="s">
        <v>52</v>
      </c>
      <c r="F18" s="11">
        <v>160</v>
      </c>
      <c r="G18" s="9">
        <v>15</v>
      </c>
      <c r="H18" s="9" t="s">
        <v>7</v>
      </c>
      <c r="I18" s="14" t="str">
        <f t="shared" si="0"/>
        <v>Smartwatch Huawei</v>
      </c>
      <c r="L18" t="str">
        <f>PROPER(TRIM(H10))</f>
        <v>Electronics</v>
      </c>
      <c r="M18" t="str">
        <f>IF(OR(L18=L$3,L18=L$4,L18=L$5,L18=L$6,L18=L$7),"correct","Typo")</f>
        <v>correct</v>
      </c>
    </row>
    <row r="19" spans="1:13" x14ac:dyDescent="0.35">
      <c r="A19" s="12" t="s">
        <v>53</v>
      </c>
      <c r="B19" s="10">
        <v>46049</v>
      </c>
      <c r="C19" s="9" t="s">
        <v>100</v>
      </c>
      <c r="D19" s="12" t="s">
        <v>36</v>
      </c>
      <c r="E19" s="12" t="s">
        <v>54</v>
      </c>
      <c r="F19" s="13">
        <v>980</v>
      </c>
      <c r="G19" s="12">
        <v>10</v>
      </c>
      <c r="H19" s="12" t="s">
        <v>7</v>
      </c>
      <c r="I19" s="14" t="str">
        <f t="shared" si="0"/>
        <v>Laptop Asus</v>
      </c>
      <c r="L19" t="str">
        <f>PROPER(TRIM(H11))</f>
        <v>Outdoor</v>
      </c>
      <c r="M19" t="str">
        <f>IF(OR(L19=L$3,L19=L$4,L19=L$5,L19=L$6,L19=L$7),"correct","Typo")</f>
        <v>correct</v>
      </c>
    </row>
    <row r="20" spans="1:13" x14ac:dyDescent="0.35">
      <c r="A20" s="9" t="s">
        <v>55</v>
      </c>
      <c r="B20" s="10">
        <v>46082</v>
      </c>
      <c r="C20" s="9" t="s">
        <v>93</v>
      </c>
      <c r="D20" s="9" t="s">
        <v>56</v>
      </c>
      <c r="E20" s="9" t="s">
        <v>57</v>
      </c>
      <c r="F20" s="11">
        <v>150</v>
      </c>
      <c r="G20" s="9">
        <v>15</v>
      </c>
      <c r="H20" s="9" t="s">
        <v>10</v>
      </c>
      <c r="I20" s="14" t="str">
        <f t="shared" si="0"/>
        <v>Sunglasses Oakley</v>
      </c>
      <c r="L20" t="str">
        <f>PROPER(TRIM(H12))</f>
        <v>Electronics</v>
      </c>
      <c r="M20" t="str">
        <f>IF(OR(L20=L$3,L20=L$4,L20=L$5,L20=L$6,L20=L$7),"correct","Typo")</f>
        <v>correct</v>
      </c>
    </row>
    <row r="21" spans="1:13" x14ac:dyDescent="0.35">
      <c r="A21" s="12" t="s">
        <v>58</v>
      </c>
      <c r="B21" s="10">
        <v>46248</v>
      </c>
      <c r="C21" s="9" t="s">
        <v>92</v>
      </c>
      <c r="D21" s="12" t="s">
        <v>59</v>
      </c>
      <c r="E21" s="12" t="s">
        <v>60</v>
      </c>
      <c r="F21" s="13">
        <f>MEDIAN(F11)</f>
        <v>130</v>
      </c>
      <c r="G21" s="12">
        <v>10</v>
      </c>
      <c r="H21" s="12" t="s">
        <v>34</v>
      </c>
      <c r="I21" s="14" t="str">
        <f t="shared" si="0"/>
        <v>Camping Tent Coleman</v>
      </c>
      <c r="L21" t="str">
        <f>PROPER(TRIM(H13))</f>
        <v>Fashion</v>
      </c>
      <c r="M21" t="str">
        <f>IF(OR(L21=L$3,L21=L$4,L21=L$5,L21=L$6,L21=L$7),"correct","Typo")</f>
        <v>correct</v>
      </c>
    </row>
    <row r="22" spans="1:13" x14ac:dyDescent="0.35">
      <c r="A22" s="9" t="s">
        <v>61</v>
      </c>
      <c r="B22" s="10">
        <v>46156</v>
      </c>
      <c r="C22" s="9" t="s">
        <v>101</v>
      </c>
      <c r="D22" s="9" t="s">
        <v>62</v>
      </c>
      <c r="E22" s="9" t="s">
        <v>63</v>
      </c>
      <c r="F22" s="11">
        <v>700</v>
      </c>
      <c r="G22" s="9">
        <v>50</v>
      </c>
      <c r="H22" s="9" t="s">
        <v>7</v>
      </c>
      <c r="I22" s="14" t="str">
        <f t="shared" si="0"/>
        <v>Camera Nikon</v>
      </c>
      <c r="L22" t="str">
        <f>PROPER(TRIM(H14))</f>
        <v>Kitchen</v>
      </c>
      <c r="M22" t="str">
        <f>IF(OR(L22=L$3,L22=L$4,L22=L$5,L22=L$6,L22=L$7),"correct","Typo")</f>
        <v>correct</v>
      </c>
    </row>
    <row r="23" spans="1:13" x14ac:dyDescent="0.35">
      <c r="A23" s="12" t="s">
        <v>64</v>
      </c>
      <c r="B23" s="10">
        <v>46031</v>
      </c>
      <c r="C23" s="9" t="s">
        <v>97</v>
      </c>
      <c r="D23" s="12" t="s">
        <v>65</v>
      </c>
      <c r="E23" s="12" t="s">
        <v>66</v>
      </c>
      <c r="F23" s="13">
        <v>80</v>
      </c>
      <c r="G23" s="12">
        <v>20</v>
      </c>
      <c r="H23" s="12" t="s">
        <v>13</v>
      </c>
      <c r="I23" s="14" t="str">
        <f t="shared" si="0"/>
        <v>Microwave Panasonic</v>
      </c>
      <c r="L23" t="str">
        <f>PROPER(TRIM(H15))</f>
        <v>Electronics</v>
      </c>
      <c r="M23" t="str">
        <f>IF(OR(L23=L$3,L23=L$4,L23=L$5,L23=L$6,L23=L$7),"correct","Typo")</f>
        <v>correct</v>
      </c>
    </row>
    <row r="24" spans="1:13" x14ac:dyDescent="0.35">
      <c r="A24" s="9" t="s">
        <v>67</v>
      </c>
      <c r="B24" s="10">
        <v>46222</v>
      </c>
      <c r="C24" s="9" t="s">
        <v>102</v>
      </c>
      <c r="D24" s="9" t="s">
        <v>68</v>
      </c>
      <c r="E24" s="9" t="s">
        <v>69</v>
      </c>
      <c r="F24" s="11">
        <v>150</v>
      </c>
      <c r="G24" s="9">
        <v>30</v>
      </c>
      <c r="H24" s="9" t="s">
        <v>7</v>
      </c>
      <c r="I24" s="14" t="str">
        <f t="shared" si="0"/>
        <v>Fitness Tracker Xiaomi</v>
      </c>
      <c r="L24" t="str">
        <f>PROPER(TRIM(H16))</f>
        <v>Electronics</v>
      </c>
      <c r="M24" t="str">
        <f>IF(OR(L24=L$3,L24=L$4,L24=L$5,L24=L$6,L24=L$7),"correct","Typo")</f>
        <v>correct</v>
      </c>
    </row>
    <row r="25" spans="1:13" x14ac:dyDescent="0.35">
      <c r="A25" s="12" t="s">
        <v>47</v>
      </c>
      <c r="B25" s="10">
        <v>46255</v>
      </c>
      <c r="C25" s="9" t="s">
        <v>97</v>
      </c>
      <c r="D25" s="9" t="s">
        <v>71</v>
      </c>
      <c r="E25" s="9" t="s">
        <v>72</v>
      </c>
      <c r="F25" s="11">
        <v>800</v>
      </c>
      <c r="G25" s="9">
        <v>45</v>
      </c>
      <c r="H25" s="9" t="s">
        <v>7</v>
      </c>
      <c r="I25" s="14" t="str">
        <f>CONCATENATE(TRIM(D25)," ",E25)</f>
        <v>Smartphone Google</v>
      </c>
      <c r="L25" t="str">
        <f>PROPER(TRIM(H17))</f>
        <v>Accessories</v>
      </c>
      <c r="M25" t="str">
        <f>IF(OR(L25=L$3,L25=L$4,L25=L$5,L25=L$6,L25=L$7),"correct","Typo")</f>
        <v>correct</v>
      </c>
    </row>
    <row r="26" spans="1:13" x14ac:dyDescent="0.35">
      <c r="A26" s="9" t="s">
        <v>70</v>
      </c>
      <c r="B26" s="10">
        <v>46294</v>
      </c>
      <c r="C26" s="9" t="s">
        <v>97</v>
      </c>
      <c r="D26" s="12" t="s">
        <v>56</v>
      </c>
      <c r="E26" s="12" t="s">
        <v>74</v>
      </c>
      <c r="F26" s="13">
        <f ca="1">MEDIAN(F32,F29,F19,F7,F2)</f>
        <v>60</v>
      </c>
      <c r="G26" s="12">
        <v>25</v>
      </c>
      <c r="H26" s="12" t="s">
        <v>10</v>
      </c>
      <c r="I26" s="14" t="str">
        <f t="shared" si="0"/>
        <v>Sunglasses Ray-Ban</v>
      </c>
      <c r="L26" t="str">
        <f>PROPER(TRIM(H18))</f>
        <v>Electronics</v>
      </c>
      <c r="M26" t="str">
        <f>IF(OR(L26=L$3,L26=L$4,L26=L$5,L26=L$6,L26=L$7),"correct","Typo")</f>
        <v>correct</v>
      </c>
    </row>
    <row r="27" spans="1:13" x14ac:dyDescent="0.35">
      <c r="A27" s="12" t="s">
        <v>73</v>
      </c>
      <c r="B27" s="10">
        <v>46176</v>
      </c>
      <c r="C27" s="9" t="s">
        <v>97</v>
      </c>
      <c r="D27" s="9" t="s">
        <v>26</v>
      </c>
      <c r="E27" s="9" t="s">
        <v>76</v>
      </c>
      <c r="F27" s="11">
        <v>400</v>
      </c>
      <c r="G27" s="9">
        <v>40</v>
      </c>
      <c r="H27" s="9" t="s">
        <v>13</v>
      </c>
      <c r="I27" s="14" t="str">
        <f t="shared" si="0"/>
        <v>Blender Vitamix</v>
      </c>
      <c r="L27" t="str">
        <f>PROPER(TRIM(H19))</f>
        <v>Electronics</v>
      </c>
      <c r="M27" t="str">
        <f>IF(OR(L27=L$3,L27=L$4,L27=L$5,L27=L$6,L27=L$7),"correct","Typo")</f>
        <v>correct</v>
      </c>
    </row>
    <row r="28" spans="1:13" x14ac:dyDescent="0.35">
      <c r="A28" s="9" t="s">
        <v>75</v>
      </c>
      <c r="B28" s="10">
        <v>46214</v>
      </c>
      <c r="C28" s="9" t="s">
        <v>97</v>
      </c>
      <c r="D28" s="9" t="s">
        <v>78</v>
      </c>
      <c r="E28" s="9" t="s">
        <v>79</v>
      </c>
      <c r="F28" s="11">
        <v>60</v>
      </c>
      <c r="G28" s="9">
        <v>30</v>
      </c>
      <c r="H28" s="9" t="s">
        <v>10</v>
      </c>
      <c r="I28" s="14" t="str">
        <f t="shared" si="0"/>
        <v>Dress Zara</v>
      </c>
      <c r="L28" t="str">
        <f>PROPER(TRIM(H20))</f>
        <v>Fashion</v>
      </c>
      <c r="M28" t="str">
        <f>IF(OR(L28=L$3,L28=L$4,L28=L$5,L28=L$6,L28=L$7),"correct","Typo")</f>
        <v>correct</v>
      </c>
    </row>
    <row r="29" spans="1:13" x14ac:dyDescent="0.35">
      <c r="A29" s="12" t="s">
        <v>44</v>
      </c>
      <c r="B29" s="10">
        <v>46128</v>
      </c>
      <c r="C29" s="9" t="s">
        <v>98</v>
      </c>
      <c r="D29" s="12" t="s">
        <v>81</v>
      </c>
      <c r="E29" s="12" t="s">
        <v>82</v>
      </c>
      <c r="F29" s="13">
        <v>40</v>
      </c>
      <c r="G29" s="12">
        <v>10</v>
      </c>
      <c r="H29" s="12" t="s">
        <v>13</v>
      </c>
      <c r="I29" s="14" t="str">
        <f t="shared" si="0"/>
        <v>Toaster Hamilton</v>
      </c>
      <c r="L29" t="str">
        <f>PROPER(TRIM(H21))</f>
        <v>Outdoor</v>
      </c>
      <c r="M29" t="str">
        <f>IF(OR(L29=L$3,L29=L$4,L29=L$5,L29=L$6,L29=L$7),"correct","Typo")</f>
        <v>correct</v>
      </c>
    </row>
    <row r="30" spans="1:13" x14ac:dyDescent="0.35">
      <c r="A30" s="9" t="s">
        <v>77</v>
      </c>
      <c r="B30" s="10">
        <v>46088</v>
      </c>
      <c r="C30" s="9" t="s">
        <v>97</v>
      </c>
      <c r="D30" s="9" t="s">
        <v>68</v>
      </c>
      <c r="E30" s="9" t="s">
        <v>84</v>
      </c>
      <c r="F30" s="11">
        <v>130</v>
      </c>
      <c r="G30" s="9">
        <v>5</v>
      </c>
      <c r="H30" s="9" t="s">
        <v>7</v>
      </c>
      <c r="I30" s="14" t="str">
        <f t="shared" si="0"/>
        <v>Fitness Tracker Garmin</v>
      </c>
      <c r="L30" t="str">
        <f>PROPER(TRIM(H22))</f>
        <v>Electronics</v>
      </c>
      <c r="M30" t="str">
        <f>IF(OR(L30=L$3,L30=L$4,L30=L$5,L30=L$6,L30=L$7),"correct","Typo")</f>
        <v>correct</v>
      </c>
    </row>
    <row r="31" spans="1:13" x14ac:dyDescent="0.35">
      <c r="A31" s="12" t="s">
        <v>80</v>
      </c>
      <c r="B31" s="10">
        <v>46125</v>
      </c>
      <c r="C31" s="9" t="s">
        <v>97</v>
      </c>
      <c r="D31" s="12" t="s">
        <v>85</v>
      </c>
      <c r="E31" s="12" t="s">
        <v>86</v>
      </c>
      <c r="F31" s="13">
        <v>50</v>
      </c>
      <c r="G31" s="12">
        <v>50</v>
      </c>
      <c r="H31" s="12" t="s">
        <v>10</v>
      </c>
      <c r="I31" s="14" t="str">
        <f t="shared" si="0"/>
        <v>Jeans Levi's</v>
      </c>
      <c r="L31" t="str">
        <f>PROPER(TRIM(H23))</f>
        <v>Kitchen</v>
      </c>
      <c r="M31" t="str">
        <f>IF(OR(L31=L$3,L31=L$4,L31=L$5,L31=L$6,L31=L$7),"correct","Typo")</f>
        <v>correct</v>
      </c>
    </row>
    <row r="32" spans="1:13" x14ac:dyDescent="0.35">
      <c r="A32" s="9" t="s">
        <v>83</v>
      </c>
      <c r="B32" s="10">
        <v>46166</v>
      </c>
      <c r="C32" s="9" t="s">
        <v>97</v>
      </c>
      <c r="D32" s="12" t="s">
        <v>87</v>
      </c>
      <c r="E32" s="12" t="s">
        <v>88</v>
      </c>
      <c r="F32" s="13">
        <v>100</v>
      </c>
      <c r="G32" s="12">
        <v>20</v>
      </c>
      <c r="H32" s="12" t="s">
        <v>50</v>
      </c>
      <c r="I32" s="14" t="str">
        <f t="shared" si="0"/>
        <v>Watch Casio</v>
      </c>
      <c r="L32" t="str">
        <f>PROPER(TRIM(H24))</f>
        <v>Electronics</v>
      </c>
      <c r="M32" t="str">
        <f>IF(OR(L32=L$3,L32=L$4,L32=L$5,L32=L$6,L32=L$7),"correct","Typo")</f>
        <v>correct</v>
      </c>
    </row>
    <row r="33" spans="1:13" x14ac:dyDescent="0.35">
      <c r="A33" s="5"/>
      <c r="B33" s="6"/>
      <c r="C33" s="2"/>
      <c r="D33" s="3"/>
      <c r="L33" t="str">
        <f>PROPER(TRIM(H25))</f>
        <v>Electronics</v>
      </c>
      <c r="M33" t="str">
        <f>IF(OR(L33=L$3,L33=L$4,L33=L$5,L33=L$6,L33=L$7),"correct","Typo")</f>
        <v>correct</v>
      </c>
    </row>
    <row r="34" spans="1:13" x14ac:dyDescent="0.35">
      <c r="A34" s="4"/>
      <c r="B34" s="6"/>
      <c r="C34" s="2"/>
      <c r="D34" s="3"/>
      <c r="L34" t="str">
        <f>PROPER(TRIM(H26))</f>
        <v>Fashion</v>
      </c>
      <c r="M34" t="str">
        <f>IF(OR(L34=L$3,L34=L$4,L34=L$5,L34=L$6,L34=L$7),"correct","Typo")</f>
        <v>correct</v>
      </c>
    </row>
    <row r="35" spans="1:13" x14ac:dyDescent="0.35">
      <c r="A35" s="5"/>
      <c r="B35" s="6"/>
      <c r="C35" s="2"/>
      <c r="D35" s="3"/>
      <c r="L35" t="str">
        <f>PROPER(TRIM(H27))</f>
        <v>Kitchen</v>
      </c>
      <c r="M35" t="str">
        <f>IF(OR(L35=L$3,L35=L$4,L35=L$5,L35=L$6,L35=L$7),"correct","Typo")</f>
        <v>correct</v>
      </c>
    </row>
    <row r="36" spans="1:13" x14ac:dyDescent="0.35">
      <c r="L36" t="str">
        <f>PROPER(TRIM(H28))</f>
        <v>Fashion</v>
      </c>
      <c r="M36" t="str">
        <f>IF(OR(L36=L$3,L36=L$4,L36=L$5,L36=L$6,L36=L$7),"correct","Typo")</f>
        <v>correct</v>
      </c>
    </row>
    <row r="37" spans="1:13" x14ac:dyDescent="0.35">
      <c r="D37" t="s">
        <v>89</v>
      </c>
      <c r="F37">
        <f ca="1">COUNTBLANK(F2:F35)</f>
        <v>0</v>
      </c>
      <c r="L37" t="str">
        <f>PROPER(TRIM(H29))</f>
        <v>Kitchen</v>
      </c>
      <c r="M37" t="str">
        <f>IF(OR(L37=L$3,L37=L$4,L37=L$5,L37=L$6,L37=L$7),"correct","Typo")</f>
        <v>correct</v>
      </c>
    </row>
    <row r="38" spans="1:13" x14ac:dyDescent="0.35">
      <c r="L38" t="str">
        <f>PROPER(TRIM(H30))</f>
        <v>Electronics</v>
      </c>
      <c r="M38" t="str">
        <f>IF(OR(L38=L$3,L38=L$4,L38=L$5,L38=L$6,L38=L$7),"correct","Typo")</f>
        <v>correct</v>
      </c>
    </row>
    <row r="39" spans="1:13" x14ac:dyDescent="0.35">
      <c r="L39" t="str">
        <f>PROPER(TRIM(H31))</f>
        <v>Fashion</v>
      </c>
      <c r="M39" t="str">
        <f>IF(OR(L39=L$3,L39=L$4,L39=L$5,L39=L$6,L39=L$7),"correct","Typo")</f>
        <v>correct</v>
      </c>
    </row>
    <row r="40" spans="1:13" x14ac:dyDescent="0.35">
      <c r="L40" t="str">
        <f>PROPER(TRIM(H32))</f>
        <v>Accessories</v>
      </c>
      <c r="M40" t="str">
        <f>IF(OR(L40=L$3,L40=L$4,L40=L$5,L40=L$6,L40=L$7),"correct","Typo")</f>
        <v>correct</v>
      </c>
    </row>
    <row r="41" spans="1:13" x14ac:dyDescent="0.35">
      <c r="L41" t="str">
        <f>PROPER(TRIM(H33))</f>
        <v/>
      </c>
      <c r="M41" t="str">
        <f>IF(OR(L41=L$3,L41=L$4,L41=L$5,L41=L$6,L41=L$7),"correct","Typo")</f>
        <v>Typo</v>
      </c>
    </row>
    <row r="42" spans="1:13" x14ac:dyDescent="0.35">
      <c r="L42" t="str">
        <f>PROPER(TRIM(H34))</f>
        <v/>
      </c>
      <c r="M42" t="str">
        <f>IF(OR(L42=L$3,L42=L$4,L42=L$5,L42=L$6,L42=L$7),"correct","Typo")</f>
        <v>Typo</v>
      </c>
    </row>
    <row r="43" spans="1:13" x14ac:dyDescent="0.35">
      <c r="L43" t="str">
        <f>PROPER(TRIM(H35))</f>
        <v/>
      </c>
      <c r="M43" t="str">
        <f>IF(OR(L43=L$3,L43=L$4,L43=L$5,L43=L$6,L43=L$7),"correct","Typo")</f>
        <v>Typo</v>
      </c>
    </row>
  </sheetData>
  <conditionalFormatting sqref="F1:F3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{9980403F-7297-4E82-8167-CB6D93E410D5}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{7FA2BEFC-C9D0-46A8-BCC2-5A56CA379692}</x14:id>
        </ext>
      </extLst>
    </cfRule>
  </conditionalFormatting>
  <conditionalFormatting sqref="H1:H32">
    <cfRule type="expression" priority="2">
      <formula>$H2="Electonics"</formula>
    </cfRule>
    <cfRule type="expression" dxfId="1" priority="3">
      <formula>$H$2="Electonics"</formula>
    </cfRule>
  </conditionalFormatting>
  <conditionalFormatting sqref="H2:H32">
    <cfRule type="containsText" dxfId="0" priority="1" operator="containsText" text="Electronics">
      <formula>NOT(ISERROR(SEARCH("Electronics",H2)))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80403F-7297-4E82-8167-CB6D93E410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A2BEFC-C9D0-46A8-BCC2-5A56CA3796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NABEELA AJMAL</dc:creator>
  <cp:lastModifiedBy>NABEELA AJMAL</cp:lastModifiedBy>
  <dcterms:created xsi:type="dcterms:W3CDTF">2026-09-03T17:29:36Z</dcterms:created>
  <dcterms:modified xsi:type="dcterms:W3CDTF">2026-09-04T05:42:48Z</dcterms:modified>
</cp:coreProperties>
</file>