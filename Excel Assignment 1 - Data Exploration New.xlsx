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 Analyst\Excel\"/>
    </mc:Choice>
  </mc:AlternateContent>
  <xr:revisionPtr revIDLastSave="0" documentId="8_{F8FE1D83-4C75-4773-BEFF-D986C6590D2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F40" i="2" l="1"/>
  <c r="F3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F44" i="2"/>
  <c r="F43" i="2"/>
  <c r="H31" i="2"/>
  <c r="H32" i="2"/>
  <c r="H33" i="2"/>
  <c r="H34" i="2"/>
  <c r="H35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" i="2"/>
  <c r="H4" i="2"/>
  <c r="H5" i="2"/>
  <c r="H6" i="2"/>
  <c r="H7" i="2"/>
  <c r="H8" i="2"/>
  <c r="H9" i="2"/>
  <c r="H10" i="2"/>
  <c r="H11" i="2"/>
  <c r="H12" i="2"/>
  <c r="H13" i="2"/>
  <c r="H2" i="2"/>
  <c r="F42" i="2"/>
  <c r="F41" i="2"/>
  <c r="G2" i="2" a="1"/>
  <c r="G2" i="2" s="1"/>
  <c r="F37" i="2"/>
  <c r="F60" i="2" l="1"/>
  <c r="F3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<sst xmlns="http://schemas.openxmlformats.org/spreadsheetml/2006/main" count="173" uniqueCount="124">
  <si>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</si>
  <si>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</si>
  <si>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</si>
  <si>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</si>
  <si>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</si>
  <si>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</si>
  <si>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</si>
  <si>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</si>
  <si>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</si>
  <si>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</si>
  <si>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</si>
  <si>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</si>
  <si>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</si>
  <si>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</si>
  <si>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</si>
  <si>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</si>
  <si>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</si>
  <si>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</si>
  <si>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</si>
  <si>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</si>
  <si>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</si>
  <si>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</si>
  <si>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</si>
  <si>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</si>
  <si>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</si>
  <si>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</si>
  <si>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</si>
  <si>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</si>
  <si>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</si>
  <si>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</si>
  <si>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</si>
  <si>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</si>
  <si>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</si>
  <si>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</si>
  <si>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</si>
  <si>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</si>
  <si>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</si>
  <si>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</si>
  <si>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</si>
  <si>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</si>
  <si>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</si>
  <si>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</si>
  <si>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</si>
  <si>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</si>
  <si>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</si>
  <si>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</si>
  <si>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</si>
  <si>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</si>
  <si>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</si>
  <si>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</si>
  <si>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</si>
  <si>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</si>
  <si>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</si>
  <si>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</si>
  <si>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</si>
  <si>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</si>
  <si>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</si>
  <si>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</si>
  <si>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</si>
  <si>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</si>
  <si>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</si>
  <si>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</si>
  <si>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</si>
  <si>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</si>
  <si>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</si>
  <si>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</si>
  <si>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</si>
  <si>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</si>
  <si>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</si>
  <si>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</si>
  <si>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</si>
  <si>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</si>
  <si>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</si>
  <si>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</si>
  <si>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</si>
  <si>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</si>
  <si>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</si>
  <si>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</si>
  <si>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</si>
  <si>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</si>
  <si>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</si>
  <si>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</si>
  <si>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</si>
  <si>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</si>
  <si>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</si>
  <si>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</si>
  <si>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</si>
  <si>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</si>
  <si>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</si>
  <si>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</si>
  <si>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</si>
  <si>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</si>
  <si>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</si>
  <si>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</si>
  <si>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</si>
  <si>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</si>
  <si>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</si>
  <si>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</si>
  <si>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</si>
  <si>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</si>
  <si>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</si>
  <si>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</si>
  <si>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</si>
  <si>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</si>
  <si>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</si>
  <si>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</si>
  <si>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</si>
  <si>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</si>
  <si>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</si>
  <si>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</si>
  <si>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</t>
  </si>
  <si>
    <t>Number of Product in the dataset</t>
  </si>
  <si>
    <t xml:space="preserve"> UniqueProduct Name</t>
  </si>
  <si>
    <t>Average price of all product</t>
  </si>
  <si>
    <t>Minimum price of all product</t>
  </si>
  <si>
    <t>Maximum price of all product</t>
  </si>
  <si>
    <t>Price Range</t>
  </si>
  <si>
    <t>Count of product with price less then $100</t>
  </si>
  <si>
    <t>Day</t>
  </si>
  <si>
    <t>Country Code</t>
  </si>
  <si>
    <t>Month</t>
  </si>
  <si>
    <r>
      <t xml:space="preserve">Total price of product in the </t>
    </r>
    <r>
      <rPr>
        <b/>
        <i/>
        <sz val="12"/>
        <color theme="5" tint="-0.249977111117893"/>
        <rFont val="Arial"/>
        <family val="2"/>
        <scheme val="minor"/>
      </rPr>
      <t>electronics</t>
    </r>
    <r>
      <rPr>
        <b/>
        <sz val="12"/>
        <color rgb="FF000000"/>
        <rFont val="Arial"/>
        <family val="2"/>
        <scheme val="minor"/>
      </rPr>
      <t xml:space="preserve"> Category</t>
    </r>
  </si>
  <si>
    <t>Number of   product in the dataset</t>
  </si>
  <si>
    <t>Number of  unique product in the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</si>
</sst>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i/>
      <sz val="12"/>
      <color theme="5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E0F7FA"/>
      </patternFill>
    </fill>
    <fill>
      <patternFill patternType="solid">
        <fgColor theme="2"/>
        <bgColor rgb="FFFFFFFF"/>
      </patternFill>
    </fill>
    <fill>
      <patternFill patternType="solid">
        <fgColor rgb="FF00B050"/>
        <bgColor rgb="FF4DD0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/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D18" sqref="D18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1"/>
  <sheetViews>
    <sheetView tabSelected="1" workbookViewId="0">
      <selection activeCell="K2" sqref="K2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  <col min="7" max="7" width="18.81640625" customWidth="1"/>
    <col min="8" max="8" width="15.81640625" customWidth="1"/>
  </cols>
  <sheetData>
    <row r="1" spans="1:11" ht="15.75" customHeight="1" x14ac:dyDescent="0.3">
      <c r="A1" s="12" t="s">
        <v>17</v>
      </c>
      <c r="B1" s="12" t="s">
        <v>18</v>
      </c>
      <c r="C1" s="12" t="s">
        <v>19</v>
      </c>
      <c r="D1" s="12" t="s">
        <v>20</v>
      </c>
      <c r="E1" s="12" t="s">
        <v>21</v>
      </c>
      <c r="F1" s="12" t="s">
        <v>22</v>
      </c>
      <c r="G1" s="13" t="s">
        <v>112</v>
      </c>
      <c r="H1" s="13" t="s">
        <v>116</v>
      </c>
      <c r="I1" s="13" t="s">
        <v>118</v>
      </c>
      <c r="J1" s="13" t="s">
        <v>119</v>
      </c>
      <c r="K1" s="13" t="s">
        <v>120</v>
      </c>
    </row>
    <row r="2" spans="1:11" ht="15.75" customHeight="1" x14ac:dyDescent="0.25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9" t="str" cm="1">
        <f t="array" ref="G2:G22">_xlfn.UNIQUE(B2:B35)</f>
        <v>Laptop</v>
      </c>
      <c r="H2" s="9" t="str">
        <f>IF(D2&gt;=500,"High Price","Standered price")</f>
        <v>High Price</v>
      </c>
      <c r="I2" s="9" t="str">
        <f>LEFT(A2,2)</f>
        <v>28</v>
      </c>
      <c r="J2" s="9" t="str">
        <f>RIGHT(A2,2)</f>
        <v>US</v>
      </c>
      <c r="K2" s="9" t="str">
        <f>MID(A2,4,3)</f>
        <v>JAN</v>
      </c>
    </row>
    <row r="3" spans="1:11" ht="15.75" customHeight="1" x14ac:dyDescent="0.25">
      <c r="A3" s="10" t="s">
        <v>27</v>
      </c>
      <c r="B3" s="10" t="s">
        <v>28</v>
      </c>
      <c r="C3" s="10" t="s">
        <v>29</v>
      </c>
      <c r="D3" s="10">
        <v>80</v>
      </c>
      <c r="E3" s="10">
        <v>15</v>
      </c>
      <c r="F3" s="10" t="s">
        <v>30</v>
      </c>
      <c r="G3" s="9" t="str">
        <v>Sneakers</v>
      </c>
      <c r="H3" s="9" t="str">
        <f t="shared" ref="H3:H35" si="0">IF(D3&gt;=500,"High Price","Standered price")</f>
        <v>Standered price</v>
      </c>
      <c r="I3" s="9" t="str">
        <f t="shared" ref="I3:I35" si="1">LEFT(A3,2)</f>
        <v>15</v>
      </c>
      <c r="J3" s="9" t="str">
        <f t="shared" ref="J3:J35" si="2">RIGHT(A3,2)</f>
        <v>US</v>
      </c>
      <c r="K3" s="9" t="str">
        <f t="shared" ref="K3:K35" si="3">MID(A3,4,3)</f>
        <v>FEB</v>
      </c>
    </row>
    <row r="4" spans="1:11" ht="15.75" customHeight="1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9" t="str">
        <v>Coffee Maker</v>
      </c>
      <c r="H4" s="9" t="str">
        <f t="shared" si="0"/>
        <v>Standered price</v>
      </c>
      <c r="I4" s="9" t="str">
        <f t="shared" si="1"/>
        <v>03</v>
      </c>
      <c r="J4" s="9" t="str">
        <f t="shared" si="2"/>
        <v>US</v>
      </c>
      <c r="K4" s="9" t="str">
        <f t="shared" si="3"/>
        <v>MAR</v>
      </c>
    </row>
    <row r="5" spans="1:11" ht="15.75" customHeight="1" x14ac:dyDescent="0.25">
      <c r="A5" s="10" t="s">
        <v>35</v>
      </c>
      <c r="B5" s="10" t="s">
        <v>36</v>
      </c>
      <c r="C5" s="10" t="s">
        <v>37</v>
      </c>
      <c r="D5" s="10">
        <v>900</v>
      </c>
      <c r="E5" s="10">
        <v>25</v>
      </c>
      <c r="F5" s="10" t="s">
        <v>26</v>
      </c>
      <c r="G5" s="9" t="str">
        <v>Smartphone</v>
      </c>
      <c r="H5" s="9" t="str">
        <f t="shared" si="0"/>
        <v>High Price</v>
      </c>
      <c r="I5" s="9" t="str">
        <f t="shared" si="1"/>
        <v>11</v>
      </c>
      <c r="J5" s="9" t="str">
        <f t="shared" si="2"/>
        <v>US</v>
      </c>
      <c r="K5" s="9" t="str">
        <f t="shared" si="3"/>
        <v>APR</v>
      </c>
    </row>
    <row r="6" spans="1:11" ht="15.75" customHeight="1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9" t="str">
        <v>Backpack</v>
      </c>
      <c r="H6" s="9" t="str">
        <f t="shared" si="0"/>
        <v>Standered price</v>
      </c>
      <c r="I6" s="9" t="str">
        <f t="shared" si="1"/>
        <v>22</v>
      </c>
      <c r="J6" s="9" t="str">
        <f t="shared" si="2"/>
        <v>US</v>
      </c>
      <c r="K6" s="9" t="str">
        <f t="shared" si="3"/>
        <v>MAY</v>
      </c>
    </row>
    <row r="7" spans="1:11" ht="15.75" customHeight="1" x14ac:dyDescent="0.25">
      <c r="A7" s="10" t="s">
        <v>42</v>
      </c>
      <c r="B7" s="10" t="s">
        <v>43</v>
      </c>
      <c r="C7" s="10" t="s">
        <v>44</v>
      </c>
      <c r="D7" s="10">
        <v>200</v>
      </c>
      <c r="E7" s="10">
        <v>45</v>
      </c>
      <c r="F7" s="10" t="s">
        <v>26</v>
      </c>
      <c r="G7" s="9" t="str">
        <v>Headphones</v>
      </c>
      <c r="H7" s="9" t="str">
        <f t="shared" si="0"/>
        <v>Standered price</v>
      </c>
      <c r="I7" s="9" t="str">
        <f t="shared" si="1"/>
        <v>07</v>
      </c>
      <c r="J7" s="9" t="str">
        <f t="shared" si="2"/>
        <v>UK</v>
      </c>
      <c r="K7" s="9" t="str">
        <f t="shared" si="3"/>
        <v>JUN</v>
      </c>
    </row>
    <row r="8" spans="1:11" ht="15.75" customHeight="1" x14ac:dyDescent="0.25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9" t="str">
        <v>T-shirt</v>
      </c>
      <c r="H8" s="9" t="str">
        <f t="shared" si="0"/>
        <v>Standered price</v>
      </c>
      <c r="I8" s="9" t="str">
        <f t="shared" si="1"/>
        <v>19</v>
      </c>
      <c r="J8" s="9" t="str">
        <f t="shared" si="2"/>
        <v>UK</v>
      </c>
      <c r="K8" s="9" t="str">
        <f t="shared" si="3"/>
        <v>JUL</v>
      </c>
    </row>
    <row r="9" spans="1:11" ht="15.75" customHeight="1" x14ac:dyDescent="0.25">
      <c r="A9" s="10" t="s">
        <v>48</v>
      </c>
      <c r="B9" s="10" t="s">
        <v>49</v>
      </c>
      <c r="C9" s="10" t="s">
        <v>50</v>
      </c>
      <c r="D9" s="10">
        <v>90</v>
      </c>
      <c r="E9" s="10">
        <v>35</v>
      </c>
      <c r="F9" s="10" t="s">
        <v>34</v>
      </c>
      <c r="G9" s="9" t="str">
        <v>Blender</v>
      </c>
      <c r="H9" s="9" t="str">
        <f t="shared" si="0"/>
        <v>Standered price</v>
      </c>
      <c r="I9" s="9" t="str">
        <f t="shared" si="1"/>
        <v>23</v>
      </c>
      <c r="J9" s="9" t="str">
        <f t="shared" si="2"/>
        <v>UK</v>
      </c>
      <c r="K9" s="9" t="str">
        <f t="shared" si="3"/>
        <v>AUG</v>
      </c>
    </row>
    <row r="10" spans="1:11" ht="15.75" customHeight="1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9" t="str">
        <v>Tablet</v>
      </c>
      <c r="H10" s="9" t="str">
        <f t="shared" si="0"/>
        <v>High Price</v>
      </c>
      <c r="I10" s="9" t="str">
        <f t="shared" si="1"/>
        <v>05</v>
      </c>
      <c r="J10" s="9" t="str">
        <f t="shared" si="2"/>
        <v>UK</v>
      </c>
      <c r="K10" s="9" t="str">
        <f t="shared" si="3"/>
        <v>SEP</v>
      </c>
    </row>
    <row r="11" spans="1:11" ht="15.75" customHeight="1" x14ac:dyDescent="0.25">
      <c r="A11" s="10" t="s">
        <v>54</v>
      </c>
      <c r="B11" s="10" t="s">
        <v>55</v>
      </c>
      <c r="C11" s="10" t="s">
        <v>56</v>
      </c>
      <c r="D11" s="10">
        <v>130</v>
      </c>
      <c r="E11" s="10">
        <v>10</v>
      </c>
      <c r="F11" s="10" t="s">
        <v>41</v>
      </c>
      <c r="G11" s="9" t="str">
        <v>Hiking Boots</v>
      </c>
      <c r="H11" s="9" t="str">
        <f t="shared" si="0"/>
        <v>Standered price</v>
      </c>
      <c r="I11" s="9" t="str">
        <f t="shared" si="1"/>
        <v>14</v>
      </c>
      <c r="J11" s="9" t="str">
        <f t="shared" si="2"/>
        <v>UK</v>
      </c>
      <c r="K11" s="9" t="str">
        <f t="shared" si="3"/>
        <v>OCT</v>
      </c>
    </row>
    <row r="12" spans="1:11" ht="15.75" customHeight="1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9" t="str">
        <v>Smartwatch</v>
      </c>
      <c r="H12" s="9" t="str">
        <f t="shared" si="0"/>
        <v>High Price</v>
      </c>
      <c r="I12" s="9" t="str">
        <f t="shared" si="1"/>
        <v>17</v>
      </c>
      <c r="J12" s="9" t="str">
        <f t="shared" si="2"/>
        <v>IN</v>
      </c>
      <c r="K12" s="9" t="str">
        <f t="shared" si="3"/>
        <v>JUN</v>
      </c>
    </row>
    <row r="13" spans="1:11" ht="15.75" customHeight="1" x14ac:dyDescent="0.25">
      <c r="A13" s="10" t="s">
        <v>59</v>
      </c>
      <c r="B13" s="10" t="s">
        <v>28</v>
      </c>
      <c r="C13" s="10" t="s">
        <v>47</v>
      </c>
      <c r="D13" s="10">
        <v>90</v>
      </c>
      <c r="E13" s="10">
        <v>40</v>
      </c>
      <c r="F13" s="10" t="s">
        <v>30</v>
      </c>
      <c r="G13" s="9" t="str">
        <v>Laptop Bag</v>
      </c>
      <c r="H13" s="9" t="str">
        <f t="shared" si="0"/>
        <v>Standered price</v>
      </c>
      <c r="I13" s="9" t="str">
        <f t="shared" si="1"/>
        <v>25</v>
      </c>
      <c r="J13" s="9" t="str">
        <f t="shared" si="2"/>
        <v>AU</v>
      </c>
      <c r="K13" s="9" t="str">
        <f t="shared" si="3"/>
        <v>NOV</v>
      </c>
    </row>
    <row r="14" spans="1:11" ht="15.75" customHeight="1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9" t="str">
        <v>Sunglasses</v>
      </c>
      <c r="H14" s="9" t="str">
        <f t="shared" si="0"/>
        <v>Standered price</v>
      </c>
      <c r="I14" s="9" t="str">
        <f t="shared" si="1"/>
        <v>08</v>
      </c>
      <c r="J14" s="9" t="str">
        <f t="shared" si="2"/>
        <v>DE</v>
      </c>
      <c r="K14" s="9" t="str">
        <f t="shared" si="3"/>
        <v>DEC</v>
      </c>
    </row>
    <row r="15" spans="1:11" ht="15.75" customHeight="1" x14ac:dyDescent="0.25">
      <c r="A15" s="10" t="s">
        <v>62</v>
      </c>
      <c r="B15" s="10" t="s">
        <v>63</v>
      </c>
      <c r="C15" s="10" t="s">
        <v>64</v>
      </c>
      <c r="D15" s="10">
        <v>150</v>
      </c>
      <c r="E15" s="10">
        <v>15</v>
      </c>
      <c r="F15" s="10" t="s">
        <v>26</v>
      </c>
      <c r="G15" s="9" t="str">
        <v>Camping Tent</v>
      </c>
      <c r="H15" s="9" t="str">
        <f t="shared" si="0"/>
        <v>Standered price</v>
      </c>
      <c r="I15" s="9" t="str">
        <f t="shared" si="1"/>
        <v>18</v>
      </c>
      <c r="J15" s="9" t="str">
        <f t="shared" si="2"/>
        <v>CA</v>
      </c>
      <c r="K15" s="9" t="str">
        <f t="shared" si="3"/>
        <v>FEB</v>
      </c>
    </row>
    <row r="16" spans="1:11" ht="15.75" customHeight="1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9" t="str">
        <v>Camera</v>
      </c>
      <c r="H16" s="9" t="str">
        <f t="shared" si="0"/>
        <v>Standered price</v>
      </c>
      <c r="I16" s="9" t="str">
        <f t="shared" si="1"/>
        <v>16</v>
      </c>
      <c r="J16" s="9" t="str">
        <f t="shared" si="2"/>
        <v>ES</v>
      </c>
      <c r="K16" s="9" t="str">
        <f t="shared" si="3"/>
        <v>APR</v>
      </c>
    </row>
    <row r="17" spans="1:11" ht="15.75" customHeight="1" x14ac:dyDescent="0.25">
      <c r="A17" s="10" t="s">
        <v>67</v>
      </c>
      <c r="B17" s="10" t="s">
        <v>68</v>
      </c>
      <c r="C17" s="10" t="s">
        <v>69</v>
      </c>
      <c r="D17" s="10">
        <v>50</v>
      </c>
      <c r="E17" s="10">
        <v>35</v>
      </c>
      <c r="F17" s="10" t="s">
        <v>70</v>
      </c>
      <c r="G17" s="9" t="str">
        <v>Microwave</v>
      </c>
      <c r="H17" s="9" t="str">
        <f t="shared" si="0"/>
        <v>Standered price</v>
      </c>
      <c r="I17" s="9" t="str">
        <f t="shared" si="1"/>
        <v>21</v>
      </c>
      <c r="J17" s="9" t="str">
        <f t="shared" si="2"/>
        <v>CA</v>
      </c>
      <c r="K17" s="9" t="str">
        <f t="shared" si="3"/>
        <v>AUG</v>
      </c>
    </row>
    <row r="18" spans="1:11" ht="15.75" customHeight="1" x14ac:dyDescent="0.25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9" t="str">
        <v>Fitness Tracker</v>
      </c>
      <c r="H18" s="9" t="str">
        <f t="shared" si="0"/>
        <v>Standered price</v>
      </c>
      <c r="I18" s="9" t="str">
        <f t="shared" si="1"/>
        <v>20</v>
      </c>
      <c r="J18" s="9" t="str">
        <f t="shared" si="2"/>
        <v>CN</v>
      </c>
      <c r="K18" s="9" t="str">
        <f t="shared" si="3"/>
        <v>AUG</v>
      </c>
    </row>
    <row r="19" spans="1:11" ht="15.75" customHeight="1" x14ac:dyDescent="0.25">
      <c r="A19" s="10" t="s">
        <v>73</v>
      </c>
      <c r="B19" s="10" t="s">
        <v>24</v>
      </c>
      <c r="C19" s="10" t="s">
        <v>74</v>
      </c>
      <c r="D19" s="10">
        <v>980</v>
      </c>
      <c r="E19" s="10">
        <v>10</v>
      </c>
      <c r="F19" s="10" t="s">
        <v>26</v>
      </c>
      <c r="G19" s="9" t="str">
        <v>Dress</v>
      </c>
      <c r="H19" s="9" t="str">
        <f t="shared" si="0"/>
        <v>High Price</v>
      </c>
      <c r="I19" s="9" t="str">
        <f t="shared" si="1"/>
        <v>27</v>
      </c>
      <c r="J19" s="9" t="str">
        <f t="shared" si="2"/>
        <v>IT</v>
      </c>
      <c r="K19" s="9" t="str">
        <f t="shared" si="3"/>
        <v>JAN</v>
      </c>
    </row>
    <row r="20" spans="1:11" ht="15.75" customHeight="1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9" t="str">
        <v>Toaster</v>
      </c>
      <c r="H20" s="9" t="str">
        <f t="shared" si="0"/>
        <v>Standered price</v>
      </c>
      <c r="I20" s="9" t="str">
        <f t="shared" si="1"/>
        <v>01</v>
      </c>
      <c r="J20" s="9" t="str">
        <f t="shared" si="2"/>
        <v>UK</v>
      </c>
      <c r="K20" s="9" t="str">
        <f t="shared" si="3"/>
        <v>MAR</v>
      </c>
    </row>
    <row r="21" spans="1:11" ht="15.75" customHeight="1" x14ac:dyDescent="0.25">
      <c r="A21" s="10" t="s">
        <v>78</v>
      </c>
      <c r="B21" s="10" t="s">
        <v>79</v>
      </c>
      <c r="C21" s="10" t="s">
        <v>80</v>
      </c>
      <c r="D21" s="10">
        <v>200</v>
      </c>
      <c r="E21" s="10">
        <v>10</v>
      </c>
      <c r="F21" s="10" t="s">
        <v>41</v>
      </c>
      <c r="G21" s="9" t="str">
        <v>Jeans</v>
      </c>
      <c r="H21" s="9" t="str">
        <f t="shared" si="0"/>
        <v>Standered price</v>
      </c>
      <c r="I21" s="9" t="str">
        <f t="shared" si="1"/>
        <v>14</v>
      </c>
      <c r="J21" s="9" t="str">
        <f t="shared" si="2"/>
        <v>US</v>
      </c>
      <c r="K21" s="9" t="str">
        <f t="shared" si="3"/>
        <v>AUG</v>
      </c>
    </row>
    <row r="22" spans="1:11" ht="15.75" customHeight="1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9" t="str">
        <v>Watch</v>
      </c>
      <c r="H22" s="9" t="str">
        <f t="shared" si="0"/>
        <v>High Price</v>
      </c>
      <c r="I22" s="9" t="str">
        <f t="shared" si="1"/>
        <v>14</v>
      </c>
      <c r="J22" s="9" t="str">
        <f t="shared" si="2"/>
        <v>RU</v>
      </c>
      <c r="K22" s="9" t="str">
        <f t="shared" si="3"/>
        <v>MAY</v>
      </c>
    </row>
    <row r="23" spans="1:11" ht="15.75" customHeight="1" x14ac:dyDescent="0.25">
      <c r="A23" s="10" t="s">
        <v>84</v>
      </c>
      <c r="B23" s="10" t="s">
        <v>85</v>
      </c>
      <c r="C23" s="10" t="s">
        <v>86</v>
      </c>
      <c r="D23" s="10">
        <v>80</v>
      </c>
      <c r="E23" s="10">
        <v>20</v>
      </c>
      <c r="F23" s="10" t="s">
        <v>34</v>
      </c>
      <c r="G23" s="8"/>
      <c r="H23" s="9" t="str">
        <f t="shared" si="0"/>
        <v>Standered price</v>
      </c>
      <c r="I23" s="9" t="str">
        <f t="shared" si="1"/>
        <v>09</v>
      </c>
      <c r="J23" s="9" t="str">
        <f t="shared" si="2"/>
        <v>CA</v>
      </c>
      <c r="K23" s="9" t="str">
        <f t="shared" si="3"/>
        <v>JAN</v>
      </c>
    </row>
    <row r="24" spans="1:11" ht="15.75" customHeight="1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/>
      <c r="H24" s="9" t="str">
        <f t="shared" si="0"/>
        <v>Standered price</v>
      </c>
      <c r="I24" s="9" t="str">
        <f t="shared" si="1"/>
        <v>19</v>
      </c>
      <c r="J24" s="9" t="str">
        <f t="shared" si="2"/>
        <v>BR</v>
      </c>
      <c r="K24" s="9" t="str">
        <f t="shared" si="3"/>
        <v>JUL</v>
      </c>
    </row>
    <row r="25" spans="1:11" ht="15.75" customHeight="1" x14ac:dyDescent="0.25">
      <c r="A25" s="10" t="s">
        <v>67</v>
      </c>
      <c r="B25" s="10" t="s">
        <v>68</v>
      </c>
      <c r="C25" s="10" t="s">
        <v>69</v>
      </c>
      <c r="D25" s="10">
        <v>50</v>
      </c>
      <c r="E25" s="10">
        <v>35</v>
      </c>
      <c r="F25" s="10" t="s">
        <v>70</v>
      </c>
      <c r="G25" s="11"/>
      <c r="H25" s="9" t="str">
        <f t="shared" si="0"/>
        <v>Standered price</v>
      </c>
      <c r="I25" s="9" t="str">
        <f t="shared" si="1"/>
        <v>21</v>
      </c>
      <c r="J25" s="9" t="str">
        <f t="shared" si="2"/>
        <v>CA</v>
      </c>
      <c r="K25" s="9" t="str">
        <f t="shared" si="3"/>
        <v>AUG</v>
      </c>
    </row>
    <row r="26" spans="1:11" ht="15.75" customHeight="1" x14ac:dyDescent="0.25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/>
      <c r="H26" s="9" t="str">
        <f t="shared" si="0"/>
        <v>High Price</v>
      </c>
      <c r="I26" s="9" t="str">
        <f t="shared" si="1"/>
        <v>29</v>
      </c>
      <c r="J26" s="9" t="str">
        <f t="shared" si="2"/>
        <v>CA</v>
      </c>
      <c r="K26" s="9" t="str">
        <f t="shared" si="3"/>
        <v>SEP</v>
      </c>
    </row>
    <row r="27" spans="1:11" ht="15.75" customHeight="1" x14ac:dyDescent="0.25">
      <c r="A27" s="10" t="s">
        <v>92</v>
      </c>
      <c r="B27" s="10" t="s">
        <v>76</v>
      </c>
      <c r="C27" s="10" t="s">
        <v>93</v>
      </c>
      <c r="D27" s="10">
        <v>130</v>
      </c>
      <c r="E27" s="10">
        <v>25</v>
      </c>
      <c r="F27" s="10" t="s">
        <v>30</v>
      </c>
      <c r="G27" s="8"/>
      <c r="H27" s="9" t="str">
        <f t="shared" si="0"/>
        <v>Standered price</v>
      </c>
      <c r="I27" s="9" t="str">
        <f t="shared" si="1"/>
        <v>03</v>
      </c>
      <c r="J27" s="9" t="str">
        <f t="shared" si="2"/>
        <v>CA</v>
      </c>
      <c r="K27" s="9" t="str">
        <f t="shared" si="3"/>
        <v>JUN</v>
      </c>
    </row>
    <row r="28" spans="1:11" ht="15.75" customHeight="1" x14ac:dyDescent="0.25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/>
      <c r="H28" s="9" t="str">
        <f t="shared" si="0"/>
        <v>Standered price</v>
      </c>
      <c r="I28" s="9" t="str">
        <f t="shared" si="1"/>
        <v>11</v>
      </c>
      <c r="J28" s="9" t="str">
        <f t="shared" si="2"/>
        <v>CA</v>
      </c>
      <c r="K28" s="9" t="str">
        <f t="shared" si="3"/>
        <v>JUL</v>
      </c>
    </row>
    <row r="29" spans="1:11" ht="15.75" customHeight="1" x14ac:dyDescent="0.25">
      <c r="A29" s="10" t="s">
        <v>65</v>
      </c>
      <c r="B29" s="10" t="s">
        <v>43</v>
      </c>
      <c r="C29" s="10" t="s">
        <v>66</v>
      </c>
      <c r="D29" s="10">
        <v>230</v>
      </c>
      <c r="E29" s="10">
        <v>20</v>
      </c>
      <c r="F29" s="10" t="s">
        <v>26</v>
      </c>
      <c r="G29" s="11"/>
      <c r="H29" s="9" t="str">
        <f t="shared" si="0"/>
        <v>Standered price</v>
      </c>
      <c r="I29" s="9" t="str">
        <f t="shared" si="1"/>
        <v>16</v>
      </c>
      <c r="J29" s="9" t="str">
        <f t="shared" si="2"/>
        <v>ES</v>
      </c>
      <c r="K29" s="9" t="str">
        <f t="shared" si="3"/>
        <v>APR</v>
      </c>
    </row>
    <row r="30" spans="1:11" ht="15.75" customHeight="1" x14ac:dyDescent="0.25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/>
      <c r="H30" s="9" t="str">
        <f t="shared" si="0"/>
        <v>Standered price</v>
      </c>
      <c r="I30" s="9" t="str">
        <f t="shared" si="1"/>
        <v>07</v>
      </c>
      <c r="J30" s="9" t="str">
        <f t="shared" si="2"/>
        <v>CA</v>
      </c>
      <c r="K30" s="9" t="str">
        <f t="shared" si="3"/>
        <v>MAR</v>
      </c>
    </row>
    <row r="31" spans="1:11" ht="15.75" customHeight="1" x14ac:dyDescent="0.25">
      <c r="A31" s="10" t="s">
        <v>99</v>
      </c>
      <c r="B31" s="10" t="s">
        <v>100</v>
      </c>
      <c r="C31" s="10" t="s">
        <v>101</v>
      </c>
      <c r="D31" s="10">
        <v>40</v>
      </c>
      <c r="E31" s="10">
        <v>10</v>
      </c>
      <c r="F31" s="10" t="s">
        <v>34</v>
      </c>
      <c r="G31" s="8"/>
      <c r="H31" s="9" t="str">
        <f>IF(D31&gt;=500,"High Price","Standered price")</f>
        <v>Standered price</v>
      </c>
      <c r="I31" s="9" t="str">
        <f t="shared" si="1"/>
        <v>13</v>
      </c>
      <c r="J31" s="9" t="str">
        <f t="shared" si="2"/>
        <v>CA</v>
      </c>
      <c r="K31" s="9" t="str">
        <f t="shared" si="3"/>
        <v>APR</v>
      </c>
    </row>
    <row r="32" spans="1:11" ht="15.75" customHeight="1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/>
      <c r="H32" s="9" t="str">
        <f t="shared" si="0"/>
        <v>Standered price</v>
      </c>
      <c r="I32" s="9" t="str">
        <f t="shared" si="1"/>
        <v>24</v>
      </c>
      <c r="J32" s="9" t="str">
        <f t="shared" si="2"/>
        <v>CA</v>
      </c>
      <c r="K32" s="9" t="str">
        <f t="shared" si="3"/>
        <v>MAY</v>
      </c>
    </row>
    <row r="33" spans="1:11" ht="15.75" customHeight="1" x14ac:dyDescent="0.25">
      <c r="A33" s="10" t="s">
        <v>104</v>
      </c>
      <c r="B33" s="10" t="s">
        <v>105</v>
      </c>
      <c r="C33" s="10" t="s">
        <v>106</v>
      </c>
      <c r="D33" s="10">
        <v>50</v>
      </c>
      <c r="E33" s="10">
        <v>50</v>
      </c>
      <c r="F33" s="10" t="s">
        <v>30</v>
      </c>
      <c r="G33" s="8"/>
      <c r="H33" s="9" t="str">
        <f t="shared" si="0"/>
        <v>Standered price</v>
      </c>
      <c r="I33" s="9" t="str">
        <f t="shared" si="1"/>
        <v>02</v>
      </c>
      <c r="J33" s="9" t="str">
        <f t="shared" si="2"/>
        <v>CA</v>
      </c>
      <c r="K33" s="9" t="str">
        <f t="shared" si="3"/>
        <v>DEC</v>
      </c>
    </row>
    <row r="34" spans="1:11" ht="15.75" customHeight="1" x14ac:dyDescent="0.25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/>
      <c r="H34" s="9" t="str">
        <f t="shared" si="0"/>
        <v>High Price</v>
      </c>
      <c r="I34" s="9" t="str">
        <f t="shared" si="1"/>
        <v>17</v>
      </c>
      <c r="J34" s="9" t="str">
        <f t="shared" si="2"/>
        <v>IN</v>
      </c>
      <c r="K34" s="9" t="str">
        <f t="shared" si="3"/>
        <v>JUN</v>
      </c>
    </row>
    <row r="35" spans="1:11" ht="15.75" customHeight="1" x14ac:dyDescent="0.25">
      <c r="A35" s="10" t="s">
        <v>107</v>
      </c>
      <c r="B35" s="10" t="s">
        <v>108</v>
      </c>
      <c r="C35" s="10" t="s">
        <v>109</v>
      </c>
      <c r="D35" s="10">
        <v>100</v>
      </c>
      <c r="E35" s="10">
        <v>20</v>
      </c>
      <c r="F35" s="10" t="s">
        <v>70</v>
      </c>
      <c r="G35" s="8"/>
      <c r="H35" s="9" t="str">
        <f t="shared" si="0"/>
        <v>Standered price</v>
      </c>
      <c r="I35" s="9" t="str">
        <f t="shared" si="1"/>
        <v>09</v>
      </c>
      <c r="J35" s="9" t="str">
        <f t="shared" si="2"/>
        <v>FR</v>
      </c>
      <c r="K35" s="9" t="str">
        <f t="shared" si="3"/>
        <v>JUL</v>
      </c>
    </row>
    <row r="36" spans="1:11" ht="15.75" customHeight="1" x14ac:dyDescent="0.25"/>
    <row r="37" spans="1:11" ht="15.75" customHeight="1" x14ac:dyDescent="0.35">
      <c r="A37" s="5">
        <v>1</v>
      </c>
      <c r="B37" s="5" t="s">
        <v>110</v>
      </c>
      <c r="C37" s="5"/>
      <c r="D37" s="5"/>
      <c r="E37" s="5"/>
      <c r="F37" s="7">
        <f>SUM(D2:D35)</f>
        <v>10100</v>
      </c>
    </row>
    <row r="38" spans="1:11" ht="15.75" customHeight="1" x14ac:dyDescent="0.35">
      <c r="A38" s="5"/>
      <c r="B38" s="5" t="s">
        <v>123</v>
      </c>
      <c r="C38" s="5"/>
      <c r="D38" s="5"/>
      <c r="E38" s="5"/>
      <c r="F38" s="7">
        <f>COUNTA(_xlfn.ANCHORARRAY(G2))</f>
        <v>21</v>
      </c>
    </row>
    <row r="39" spans="1:11" ht="15.75" customHeight="1" x14ac:dyDescent="0.35">
      <c r="A39" s="5"/>
      <c r="B39" s="5" t="s">
        <v>122</v>
      </c>
      <c r="C39" s="5"/>
      <c r="D39" s="5"/>
      <c r="E39" s="5"/>
      <c r="F39" s="7">
        <f>COUNTA(B2:B35)</f>
        <v>34</v>
      </c>
    </row>
    <row r="40" spans="1:11" ht="15.75" customHeight="1" x14ac:dyDescent="0.35">
      <c r="A40" s="5"/>
      <c r="B40" s="5" t="s">
        <v>113</v>
      </c>
      <c r="C40" s="5"/>
      <c r="D40" s="5"/>
      <c r="E40" s="5"/>
      <c r="F40" s="7">
        <f>AVERAGE(F37/F39)</f>
        <v>297.05882352941177</v>
      </c>
    </row>
    <row r="41" spans="1:11" ht="15.75" customHeight="1" x14ac:dyDescent="0.35">
      <c r="A41" s="5">
        <v>2</v>
      </c>
      <c r="B41" s="5" t="s">
        <v>114</v>
      </c>
      <c r="C41" s="5"/>
      <c r="D41" s="5"/>
      <c r="E41" s="5"/>
      <c r="F41" s="7">
        <f>MIN(D2:D35)</f>
        <v>30</v>
      </c>
    </row>
    <row r="42" spans="1:11" ht="15.75" customHeight="1" x14ac:dyDescent="0.35">
      <c r="A42" s="5"/>
      <c r="B42" s="5" t="s">
        <v>115</v>
      </c>
      <c r="C42" s="5"/>
      <c r="D42" s="5"/>
      <c r="E42" s="5"/>
      <c r="F42" s="7">
        <f>MAX(D2:D35)</f>
        <v>1000</v>
      </c>
    </row>
    <row r="43" spans="1:11" ht="15.75" customHeight="1" x14ac:dyDescent="0.35">
      <c r="A43" s="5">
        <v>4</v>
      </c>
      <c r="B43" s="5" t="s">
        <v>121</v>
      </c>
      <c r="C43" s="5"/>
      <c r="D43" s="5"/>
      <c r="E43" s="5"/>
      <c r="F43" s="7">
        <f>SUMIF(F2:F35,"Electronics",D2:D35)</f>
        <v>8050</v>
      </c>
    </row>
    <row r="44" spans="1:11" ht="15.75" customHeight="1" x14ac:dyDescent="0.35">
      <c r="A44" s="5"/>
      <c r="B44" s="5" t="s">
        <v>117</v>
      </c>
      <c r="C44" s="5"/>
      <c r="D44" s="5"/>
      <c r="E44" s="5"/>
      <c r="F44" s="7">
        <f>COUNTIF(D2:D35,"&lt;100")</f>
        <v>11</v>
      </c>
    </row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spans="2:6" ht="15.75" customHeight="1" x14ac:dyDescent="0.25"/>
    <row r="50" spans="2:6" ht="15.75" customHeight="1" x14ac:dyDescent="0.25"/>
    <row r="51" spans="2:6" ht="15.75" customHeight="1" x14ac:dyDescent="0.25"/>
    <row r="52" spans="2:6" ht="15.75" customHeight="1" x14ac:dyDescent="0.25"/>
    <row r="53" spans="2:6" ht="15.75" customHeight="1" x14ac:dyDescent="0.25"/>
    <row r="54" spans="2:6" ht="15.75" customHeight="1" x14ac:dyDescent="0.25"/>
    <row r="55" spans="2:6" ht="15.75" customHeight="1" x14ac:dyDescent="0.25"/>
    <row r="56" spans="2:6" ht="15.75" customHeight="1" x14ac:dyDescent="0.25"/>
    <row r="57" spans="2:6" ht="15.75" customHeight="1" x14ac:dyDescent="0.25"/>
    <row r="58" spans="2:6" ht="15.75" customHeight="1" x14ac:dyDescent="0.25"/>
    <row r="59" spans="2:6" ht="15.75" customHeight="1" x14ac:dyDescent="0.25"/>
    <row r="60" spans="2:6" ht="15.75" customHeight="1" x14ac:dyDescent="0.25">
      <c r="B60" s="6" t="s">
        <v>111</v>
      </c>
      <c r="F60">
        <f>COUNT(_xlfn.ANCHORARRAY(G2))</f>
        <v>0</v>
      </c>
    </row>
    <row r="61" spans="2:6" ht="15.75" customHeight="1" x14ac:dyDescent="0.25"/>
    <row r="62" spans="2:6" ht="15.75" customHeight="1" x14ac:dyDescent="0.25"/>
    <row r="63" spans="2:6" ht="15.75" customHeight="1" x14ac:dyDescent="0.25"/>
    <row r="64" spans="2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NABEELA AJMAL</cp:lastModifiedBy>
  <dcterms:created xsi:type="dcterms:W3CDTF">2026-09-07T09:56:53Z</dcterms:created>
  <dcterms:modified xsi:type="dcterms:W3CDTF">2026-09-07T09:56:53Z</dcterms:modified>
</cp:coreProperties>
</file>